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renzen" sheetId="1" state="visible" r:id="rId3"/>
    <sheet name="VS" sheetId="2" state="visible" r:id="rId4"/>
    <sheet name="TS" sheetId="3" state="visible" r:id="rId5"/>
  </sheets>
  <definedNames>
    <definedName function="false" hidden="true" localSheetId="2" name="_xlnm._FilterDatabase" vbProcedure="false">TS!$A$1:$D$99</definedName>
    <definedName function="false" hidden="true" localSheetId="1" name="_xlnm._FilterDatabase" vbProcedure="false">VS!$A$1:$G$97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<sst xmlns="http://schemas.openxmlformats.org/spreadsheetml/2006/main" count="393" uniqueCount="112">
  <si>
    <t xml:space="preserve">Sparwoche</t>
  </si>
  <si>
    <t xml:space="preserve">R2</t>
  </si>
  <si>
    <t xml:space="preserve">R3</t>
  </si>
  <si>
    <t xml:space="preserve">All in woche</t>
  </si>
  <si>
    <t xml:space="preserve">Rang</t>
  </si>
  <si>
    <t xml:space="preserve">Kommandant</t>
  </si>
  <si>
    <t xml:space="preserve">Punkte</t>
  </si>
  <si>
    <t xml:space="preserve">Alt</t>
  </si>
  <si>
    <t xml:space="preserve">Neu</t>
  </si>
  <si>
    <t xml:space="preserve">Change</t>
  </si>
  <si>
    <t xml:space="preserve">Ausnahme</t>
  </si>
  <si>
    <t xml:space="preserve">Last Wolf Warrior</t>
  </si>
  <si>
    <t xml:space="preserve">Smowy</t>
  </si>
  <si>
    <t xml:space="preserve">R4</t>
  </si>
  <si>
    <t xml:space="preserve">SNEAKY BUNNY</t>
  </si>
  <si>
    <t xml:space="preserve">Kotor47</t>
  </si>
  <si>
    <t xml:space="preserve">JSheridan</t>
  </si>
  <si>
    <t xml:space="preserve">Gordon Freimann</t>
  </si>
  <si>
    <t xml:space="preserve">Svela17</t>
  </si>
  <si>
    <t xml:space="preserve">supi pupi</t>
  </si>
  <si>
    <t xml:space="preserve">Haulsen</t>
  </si>
  <si>
    <t xml:space="preserve">Giorgiotown</t>
  </si>
  <si>
    <t xml:space="preserve">Baba Basti</t>
  </si>
  <si>
    <t xml:space="preserve">Li La LiNuS</t>
  </si>
  <si>
    <t xml:space="preserve">Bugab0o</t>
  </si>
  <si>
    <t xml:space="preserve">Cluster82</t>
  </si>
  <si>
    <t xml:space="preserve">ECSI</t>
  </si>
  <si>
    <t xml:space="preserve">Jónny666</t>
  </si>
  <si>
    <t xml:space="preserve">Fran171526</t>
  </si>
  <si>
    <t xml:space="preserve">RAV28</t>
  </si>
  <si>
    <t xml:space="preserve">lefueT</t>
  </si>
  <si>
    <t xml:space="preserve">UMY Stern</t>
  </si>
  <si>
    <t xml:space="preserve">haasenpeter rex</t>
  </si>
  <si>
    <t xml:space="preserve">MrSajmonn</t>
  </si>
  <si>
    <t xml:space="preserve">SamoZlo</t>
  </si>
  <si>
    <t xml:space="preserve">Fürst der Nazgûl</t>
  </si>
  <si>
    <t xml:space="preserve">cappu97</t>
  </si>
  <si>
    <t xml:space="preserve">PHOENIX FOX</t>
  </si>
  <si>
    <t xml:space="preserve">Queen from AZO</t>
  </si>
  <si>
    <t xml:space="preserve">R5</t>
  </si>
  <si>
    <t xml:space="preserve">Dr Cal Lightman</t>
  </si>
  <si>
    <t xml:space="preserve">Sphere8472</t>
  </si>
  <si>
    <t xml:space="preserve">SNPOL</t>
  </si>
  <si>
    <t xml:space="preserve">Bogo und Pini</t>
  </si>
  <si>
    <t xml:space="preserve">2 s t y</t>
  </si>
  <si>
    <t xml:space="preserve">Skywölkchen</t>
  </si>
  <si>
    <t xml:space="preserve">azerty57</t>
  </si>
  <si>
    <t xml:space="preserve">Kytrider</t>
  </si>
  <si>
    <t xml:space="preserve">N</t>
  </si>
  <si>
    <t xml:space="preserve">sunny75</t>
  </si>
  <si>
    <t xml:space="preserve">fffeyz</t>
  </si>
  <si>
    <t xml:space="preserve">feimel</t>
  </si>
  <si>
    <t xml:space="preserve">Jacob Carter</t>
  </si>
  <si>
    <t xml:space="preserve">K E R S Y</t>
  </si>
  <si>
    <t xml:space="preserve">Christo30</t>
  </si>
  <si>
    <t xml:space="preserve">Aenwe</t>
  </si>
  <si>
    <t xml:space="preserve">Schlabberbacke</t>
  </si>
  <si>
    <t xml:space="preserve">jukata</t>
  </si>
  <si>
    <t xml:space="preserve">Feivel D MauS</t>
  </si>
  <si>
    <t xml:space="preserve">Katerina77</t>
  </si>
  <si>
    <t xml:space="preserve">Tom12234455</t>
  </si>
  <si>
    <t xml:space="preserve">CërêålKillêr</t>
  </si>
  <si>
    <t xml:space="preserve">Tyskie 66</t>
  </si>
  <si>
    <t xml:space="preserve">SmartesGirl</t>
  </si>
  <si>
    <t xml:space="preserve">DragonWiz</t>
  </si>
  <si>
    <t xml:space="preserve">Hhjjjjcg</t>
  </si>
  <si>
    <t xml:space="preserve">Last Arti</t>
  </si>
  <si>
    <t xml:space="preserve">DaliborDaki</t>
  </si>
  <si>
    <t xml:space="preserve">FATUUM</t>
  </si>
  <si>
    <t xml:space="preserve">Dejweed</t>
  </si>
  <si>
    <t xml:space="preserve">Pawelte</t>
  </si>
  <si>
    <t xml:space="preserve">CalziferFire</t>
  </si>
  <si>
    <t xml:space="preserve">Mel Lyn</t>
  </si>
  <si>
    <t xml:space="preserve">Dragon blou</t>
  </si>
  <si>
    <t xml:space="preserve">Kpiftw</t>
  </si>
  <si>
    <t xml:space="preserve">Z4ID</t>
  </si>
  <si>
    <t xml:space="preserve">Pinsel20</t>
  </si>
  <si>
    <t xml:space="preserve">Marshalfery</t>
  </si>
  <si>
    <t xml:space="preserve">Peridakles</t>
  </si>
  <si>
    <t xml:space="preserve">Jimi777</t>
  </si>
  <si>
    <t xml:space="preserve">Fürstin Elora</t>
  </si>
  <si>
    <t xml:space="preserve">Sanya Longer</t>
  </si>
  <si>
    <t xml:space="preserve">Toby Urbex</t>
  </si>
  <si>
    <t xml:space="preserve">MetauChopf</t>
  </si>
  <si>
    <t xml:space="preserve">케프 부인</t>
  </si>
  <si>
    <t xml:space="preserve">Mac1902</t>
  </si>
  <si>
    <t xml:space="preserve">Leijonamieli</t>
  </si>
  <si>
    <t xml:space="preserve">GaaGol</t>
  </si>
  <si>
    <t xml:space="preserve">Lilien1999</t>
  </si>
  <si>
    <t xml:space="preserve">jobcenter FFM</t>
  </si>
  <si>
    <t xml:space="preserve">Xambash</t>
  </si>
  <si>
    <t xml:space="preserve">EXITUS</t>
  </si>
  <si>
    <t xml:space="preserve">LatastrophenUlli</t>
  </si>
  <si>
    <t xml:space="preserve">MG Mayo</t>
  </si>
  <si>
    <t xml:space="preserve">ozzy5255</t>
  </si>
  <si>
    <t xml:space="preserve">Himbeertony</t>
  </si>
  <si>
    <t xml:space="preserve">Cheesynator</t>
  </si>
  <si>
    <t xml:space="preserve">Bestia77</t>
  </si>
  <si>
    <t xml:space="preserve">MiepStreet</t>
  </si>
  <si>
    <t xml:space="preserve">VxClicker</t>
  </si>
  <si>
    <t xml:space="preserve">R1</t>
  </si>
  <si>
    <t xml:space="preserve">Mischel89</t>
  </si>
  <si>
    <t xml:space="preserve">Sultan Murat X</t>
  </si>
  <si>
    <t xml:space="preserve">yyyyyyvhhnmll</t>
  </si>
  <si>
    <t xml:space="preserve">The Pharo 2026</t>
  </si>
  <si>
    <t xml:space="preserve">K u r d o</t>
  </si>
  <si>
    <t xml:space="preserve">R2DrehZwo</t>
  </si>
  <si>
    <t xml:space="preserve">Rank</t>
  </si>
  <si>
    <t xml:space="preserve">Name</t>
  </si>
  <si>
    <t xml:space="preserve">Level</t>
  </si>
  <si>
    <t xml:space="preserve">Points</t>
  </si>
  <si>
    <t xml:space="preserve">MacRoM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</si>
</sst>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icrosoft YaHei"/>
      <family val="2"/>
      <charset val="1"/>
    </font>
    <font>
      <sz val="10"/>
      <name val="Microsoft YaHe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6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D2" activeCellId="0" sqref="D2"/>
    </sheetView>
  </sheetViews>
  <sheetFormatPr defaultColWidth="11.53515625" defaultRowHeight="12.8" customHeight="false" zeroHeight="false" outlineLevelRow="0" outlineLevelCol="0"/>
  <sheetData>
    <row r="2" customFormat="false" ht="12.8" hidden="false" customHeight="false" outlineLevel="0" collapsed="false">
      <c r="B2" s="1" t="s">
        <v>0</v>
      </c>
      <c r="C2" s="1" t="s">
        <v>1</v>
      </c>
      <c r="D2" s="1" t="n">
        <v>35</v>
      </c>
    </row>
    <row r="3" customFormat="false" ht="12.8" hidden="false" customHeight="false" outlineLevel="0" collapsed="false">
      <c r="C3" s="1" t="s">
        <v>2</v>
      </c>
      <c r="D3" s="1" t="n">
        <v>45</v>
      </c>
    </row>
    <row r="5" customFormat="false" ht="12.8" hidden="false" customHeight="false" outlineLevel="0" collapsed="false">
      <c r="B5" s="1" t="s">
        <v>3</v>
      </c>
      <c r="C5" s="1" t="s">
        <v>1</v>
      </c>
      <c r="D5" s="1" t="n">
        <v>40</v>
      </c>
    </row>
    <row r="6" customFormat="false" ht="12.8" hidden="false" customHeight="false" outlineLevel="0" collapsed="false">
      <c r="C6" s="1" t="s">
        <v>2</v>
      </c>
      <c r="D6" s="1" t="n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true" showRowColHeaders="true" showZeros="true" rightToLeft="false" tabSelected="true" showOutlineSymbols="true" defaultGridColor="true" view="normal" topLeftCell="A67" colorId="64" zoomScale="130" zoomScaleNormal="130" zoomScalePageLayoutView="100" workbookViewId="0">
      <selection pane="topLeft" activeCell="F80" activeCellId="0" sqref="F8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7.57"/>
    <col collapsed="false" customWidth="true" hidden="false" outlineLevel="0" max="3" min="3" style="1" width="10.33"/>
    <col collapsed="false" customWidth="true" hidden="false" outlineLevel="0" max="4" min="4" style="1" width="5.39"/>
    <col collapsed="false" customWidth="true" hidden="false" outlineLevel="0" max="5" min="5" style="1" width="5.82"/>
    <col collapsed="false" customWidth="true" hidden="false" outlineLevel="0" max="6" min="6" style="1" width="10.38"/>
  </cols>
  <sheetData>
    <row r="1" customFormat="false" ht="12.8" hidden="false" customHeight="false" outlineLevel="0" collapsed="false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customFormat="false" ht="12.8" hidden="false" customHeight="false" outlineLevel="0" collapsed="false">
      <c r="A2" s="2" t="n">
        <v>1</v>
      </c>
      <c r="B2" s="2" t="s">
        <v>11</v>
      </c>
      <c r="C2" s="2" t="n">
        <v>195401816</v>
      </c>
      <c r="D2" s="1" t="str">
        <f aca="false">VLOOKUP(B2,TS!$B$2:$C$104,2,0)</f>
        <v>R2</v>
      </c>
      <c r="E2" s="1" t="s">
        <v>2</v>
      </c>
      <c r="F2" s="1" t="str">
        <f aca="false">IF(D2&lt;&gt;E2,"Y","N")</f>
        <v>Y</v>
      </c>
    </row>
    <row r="3" customFormat="false" ht="12.8" hidden="false" customHeight="false" outlineLevel="0" collapsed="false">
      <c r="A3" s="2" t="n">
        <v>2</v>
      </c>
      <c r="B3" s="2" t="s">
        <v>12</v>
      </c>
      <c r="C3" s="2" t="n">
        <v>153789122</v>
      </c>
      <c r="D3" s="1" t="str">
        <f aca="false">VLOOKUP(B3,TS!$B$2:$C$104,2,0)</f>
        <v>R4</v>
      </c>
      <c r="E3" s="1" t="s">
        <v>13</v>
      </c>
      <c r="F3" s="1" t="str">
        <f aca="false">IF(D3&lt;&gt;E3,"Y","N")</f>
        <v>N</v>
      </c>
    </row>
    <row r="4" customFormat="false" ht="12.8" hidden="false" customHeight="false" outlineLevel="0" collapsed="false">
      <c r="A4" s="2" t="n">
        <v>3</v>
      </c>
      <c r="B4" s="2" t="s">
        <v>14</v>
      </c>
      <c r="C4" s="2" t="n">
        <v>146065019</v>
      </c>
      <c r="D4" s="1" t="str">
        <f aca="false">VLOOKUP(B4,TS!$B$2:$C$104,2,0)</f>
        <v>R3</v>
      </c>
      <c r="E4" s="1" t="s">
        <v>2</v>
      </c>
      <c r="F4" s="1" t="str">
        <f aca="false">IF(D4&lt;&gt;E4,"Y","N")</f>
        <v>N</v>
      </c>
    </row>
    <row r="5" customFormat="false" ht="12.8" hidden="false" customHeight="false" outlineLevel="0" collapsed="false">
      <c r="A5" s="2" t="n">
        <v>4</v>
      </c>
      <c r="B5" s="2" t="s">
        <v>15</v>
      </c>
      <c r="C5" s="2" t="n">
        <v>145958931</v>
      </c>
      <c r="D5" s="1" t="str">
        <f aca="false">VLOOKUP(B5,TS!$B$2:$C$104,2,0)</f>
        <v>R3</v>
      </c>
      <c r="E5" s="1" t="s">
        <v>2</v>
      </c>
      <c r="F5" s="1" t="str">
        <f aca="false">IF(D5&lt;&gt;E5,"Y","N")</f>
        <v>N</v>
      </c>
    </row>
    <row r="6" customFormat="false" ht="12.8" hidden="false" customHeight="false" outlineLevel="0" collapsed="false">
      <c r="A6" s="2" t="n">
        <v>5</v>
      </c>
      <c r="B6" s="2" t="s">
        <v>16</v>
      </c>
      <c r="C6" s="2" t="n">
        <v>143454107</v>
      </c>
      <c r="D6" s="1" t="str">
        <f aca="false">VLOOKUP(B6,TS!$B$2:$C$104,2,0)</f>
        <v>R4</v>
      </c>
      <c r="E6" s="1" t="s">
        <v>13</v>
      </c>
      <c r="F6" s="1" t="str">
        <f aca="false">IF(D6&lt;&gt;E6,"Y","N")</f>
        <v>N</v>
      </c>
    </row>
    <row r="7" customFormat="false" ht="12.8" hidden="false" customHeight="false" outlineLevel="0" collapsed="false">
      <c r="A7" s="2" t="n">
        <v>6</v>
      </c>
      <c r="B7" s="2" t="s">
        <v>17</v>
      </c>
      <c r="C7" s="2" t="n">
        <v>134223756</v>
      </c>
      <c r="D7" s="1" t="str">
        <f aca="false">VLOOKUP(B7,TS!$B$2:$C$104,2,0)</f>
        <v>R3</v>
      </c>
      <c r="E7" s="1" t="s">
        <v>2</v>
      </c>
      <c r="F7" s="1" t="str">
        <f aca="false">IF(D7&lt;&gt;E7,"Y","N")</f>
        <v>N</v>
      </c>
    </row>
    <row r="8" customFormat="false" ht="12.8" hidden="false" customHeight="false" outlineLevel="0" collapsed="false">
      <c r="A8" s="2" t="n">
        <v>7</v>
      </c>
      <c r="B8" s="1" t="s">
        <v>18</v>
      </c>
      <c r="C8" s="2" t="n">
        <v>131922308</v>
      </c>
      <c r="D8" s="1" t="str">
        <f aca="false">VLOOKUP(B8,TS!$B$2:$C$104,2,0)</f>
        <v>R3</v>
      </c>
      <c r="E8" s="1" t="s">
        <v>2</v>
      </c>
      <c r="F8" s="1" t="str">
        <f aca="false">IF(D8&lt;&gt;E8,"Y","N")</f>
        <v>N</v>
      </c>
    </row>
    <row r="9" customFormat="false" ht="12.8" hidden="false" customHeight="false" outlineLevel="0" collapsed="false">
      <c r="A9" s="2" t="n">
        <v>8</v>
      </c>
      <c r="B9" s="2" t="s">
        <v>19</v>
      </c>
      <c r="C9" s="2" t="n">
        <v>128250646</v>
      </c>
      <c r="D9" s="1" t="str">
        <f aca="false">VLOOKUP(B9,TS!$B$2:$C$104,2,0)</f>
        <v>R4</v>
      </c>
      <c r="E9" s="1" t="s">
        <v>13</v>
      </c>
      <c r="F9" s="1" t="str">
        <f aca="false">IF(D9&lt;&gt;E9,"Y","N")</f>
        <v>N</v>
      </c>
    </row>
    <row r="10" customFormat="false" ht="12.8" hidden="false" customHeight="false" outlineLevel="0" collapsed="false">
      <c r="A10" s="2" t="n">
        <v>9</v>
      </c>
      <c r="B10" s="2" t="s">
        <v>20</v>
      </c>
      <c r="C10" s="2" t="n">
        <v>126620882</v>
      </c>
      <c r="D10" s="1" t="str">
        <f aca="false">VLOOKUP(B10,TS!$B$2:$C$104,2,0)</f>
        <v>R3</v>
      </c>
      <c r="E10" s="1" t="s">
        <v>2</v>
      </c>
      <c r="F10" s="1" t="str">
        <f aca="false">IF(D10&lt;&gt;E10,"Y","N")</f>
        <v>N</v>
      </c>
    </row>
    <row r="11" customFormat="false" ht="12.8" hidden="false" customHeight="false" outlineLevel="0" collapsed="false">
      <c r="A11" s="2" t="n">
        <v>10</v>
      </c>
      <c r="B11" s="1" t="s">
        <v>21</v>
      </c>
      <c r="C11" s="2" t="n">
        <v>126315800</v>
      </c>
      <c r="D11" s="1" t="str">
        <f aca="false">VLOOKUP(B11,TS!$B$2:$C$104,2,0)</f>
        <v>R3</v>
      </c>
      <c r="E11" s="1" t="s">
        <v>2</v>
      </c>
      <c r="F11" s="1" t="str">
        <f aca="false">IF(D11&lt;&gt;E11,"Y","N")</f>
        <v>N</v>
      </c>
    </row>
    <row r="12" customFormat="false" ht="12.8" hidden="false" customHeight="false" outlineLevel="0" collapsed="false">
      <c r="A12" s="2" t="n">
        <v>11</v>
      </c>
      <c r="B12" s="2" t="s">
        <v>22</v>
      </c>
      <c r="C12" s="2" t="n">
        <v>125389607</v>
      </c>
      <c r="D12" s="1" t="str">
        <f aca="false">VLOOKUP(B12,TS!$B$2:$C$104,2,0)</f>
        <v>R3</v>
      </c>
      <c r="E12" s="1" t="s">
        <v>2</v>
      </c>
      <c r="F12" s="1" t="str">
        <f aca="false">IF(D12&lt;&gt;E12,"Y","N")</f>
        <v>N</v>
      </c>
    </row>
    <row r="13" customFormat="false" ht="12.8" hidden="false" customHeight="false" outlineLevel="0" collapsed="false">
      <c r="A13" s="2" t="n">
        <v>12</v>
      </c>
      <c r="B13" s="2" t="s">
        <v>23</v>
      </c>
      <c r="C13" s="2" t="n">
        <v>125292266</v>
      </c>
      <c r="D13" s="1" t="str">
        <f aca="false">VLOOKUP(B13,TS!$B$2:$C$104,2,0)</f>
        <v>R3</v>
      </c>
      <c r="E13" s="1" t="s">
        <v>2</v>
      </c>
      <c r="F13" s="1" t="str">
        <f aca="false">IF(D13&lt;&gt;E13,"Y","N")</f>
        <v>N</v>
      </c>
    </row>
    <row r="14" customFormat="false" ht="12.8" hidden="false" customHeight="false" outlineLevel="0" collapsed="false">
      <c r="A14" s="2" t="n">
        <v>13</v>
      </c>
      <c r="B14" s="2" t="s">
        <v>24</v>
      </c>
      <c r="C14" s="2" t="n">
        <v>124138909</v>
      </c>
      <c r="D14" s="1" t="str">
        <f aca="false">VLOOKUP(B14,TS!$B$2:$C$104,2,0)</f>
        <v>R3</v>
      </c>
      <c r="E14" s="1" t="s">
        <v>2</v>
      </c>
      <c r="F14" s="1" t="str">
        <f aca="false">IF(D14&lt;&gt;E14,"Y","N")</f>
        <v>N</v>
      </c>
    </row>
    <row r="15" customFormat="false" ht="12.8" hidden="false" customHeight="false" outlineLevel="0" collapsed="false">
      <c r="A15" s="2" t="n">
        <v>14</v>
      </c>
      <c r="B15" s="2" t="s">
        <v>25</v>
      </c>
      <c r="C15" s="2" t="n">
        <v>120622570</v>
      </c>
      <c r="D15" s="1" t="str">
        <f aca="false">VLOOKUP(B15,TS!$B$2:$C$104,2,0)</f>
        <v>R3</v>
      </c>
      <c r="E15" s="1" t="s">
        <v>2</v>
      </c>
      <c r="F15" s="1" t="str">
        <f aca="false">IF(D15&lt;&gt;E15,"Y","N")</f>
        <v>N</v>
      </c>
    </row>
    <row r="16" customFormat="false" ht="12.8" hidden="false" customHeight="false" outlineLevel="0" collapsed="false">
      <c r="A16" s="2" t="n">
        <v>15</v>
      </c>
      <c r="B16" s="2" t="s">
        <v>26</v>
      </c>
      <c r="C16" s="2" t="n">
        <v>116917061</v>
      </c>
      <c r="D16" s="1" t="str">
        <f aca="false">VLOOKUP(B16,TS!$B$2:$C$104,2,0)</f>
        <v>R2</v>
      </c>
      <c r="E16" s="1" t="s">
        <v>2</v>
      </c>
      <c r="F16" s="1" t="str">
        <f aca="false">IF(D16&lt;&gt;E16,"Y","N")</f>
        <v>Y</v>
      </c>
    </row>
    <row r="17" customFormat="false" ht="12.8" hidden="false" customHeight="false" outlineLevel="0" collapsed="false">
      <c r="A17" s="2" t="n">
        <v>16</v>
      </c>
      <c r="B17" s="2" t="s">
        <v>27</v>
      </c>
      <c r="C17" s="2" t="n">
        <v>116287135</v>
      </c>
      <c r="D17" s="1" t="str">
        <f aca="false">VLOOKUP(B17,TS!$B$2:$C$104,2,0)</f>
        <v>R3</v>
      </c>
      <c r="E17" s="1" t="s">
        <v>2</v>
      </c>
      <c r="F17" s="1" t="str">
        <f aca="false">IF(D17&lt;&gt;E17,"Y","N")</f>
        <v>N</v>
      </c>
    </row>
    <row r="18" customFormat="false" ht="12.8" hidden="false" customHeight="false" outlineLevel="0" collapsed="false">
      <c r="A18" s="2" t="n">
        <v>17</v>
      </c>
      <c r="B18" s="2" t="s">
        <v>28</v>
      </c>
      <c r="C18" s="2" t="n">
        <v>115027425</v>
      </c>
      <c r="D18" s="1" t="str">
        <f aca="false">VLOOKUP(B18,TS!$B$2:$C$104,2,0)</f>
        <v>R3</v>
      </c>
      <c r="E18" s="1" t="s">
        <v>2</v>
      </c>
      <c r="F18" s="1" t="str">
        <f aca="false">IF(D18&lt;&gt;E18,"Y","N")</f>
        <v>N</v>
      </c>
    </row>
    <row r="19" customFormat="false" ht="12.8" hidden="false" customHeight="false" outlineLevel="0" collapsed="false">
      <c r="A19" s="2" t="n">
        <v>18</v>
      </c>
      <c r="B19" s="2" t="s">
        <v>29</v>
      </c>
      <c r="C19" s="2" t="n">
        <v>114361865</v>
      </c>
      <c r="D19" s="1" t="str">
        <f aca="false">VLOOKUP(B19,TS!$B$2:$C$104,2,0)</f>
        <v>R3</v>
      </c>
      <c r="E19" s="1" t="s">
        <v>2</v>
      </c>
      <c r="F19" s="1" t="str">
        <f aca="false">IF(D19&lt;&gt;E19,"Y","N")</f>
        <v>N</v>
      </c>
    </row>
    <row r="20" customFormat="false" ht="12.8" hidden="false" customHeight="false" outlineLevel="0" collapsed="false">
      <c r="A20" s="2" t="n">
        <v>19</v>
      </c>
      <c r="B20" s="2" t="s">
        <v>30</v>
      </c>
      <c r="C20" s="2" t="n">
        <v>110829313</v>
      </c>
      <c r="D20" s="1" t="str">
        <f aca="false">VLOOKUP(B20,TS!$B$2:$C$104,2,0)</f>
        <v>R3</v>
      </c>
      <c r="E20" s="1" t="s">
        <v>2</v>
      </c>
      <c r="F20" s="1" t="str">
        <f aca="false">IF(D20&lt;&gt;E20,"Y","N")</f>
        <v>N</v>
      </c>
    </row>
    <row r="21" customFormat="false" ht="12.8" hidden="false" customHeight="false" outlineLevel="0" collapsed="false">
      <c r="A21" s="2" t="n">
        <v>20</v>
      </c>
      <c r="B21" s="2" t="s">
        <v>31</v>
      </c>
      <c r="C21" s="2" t="n">
        <v>110556811</v>
      </c>
      <c r="D21" s="1" t="str">
        <f aca="false">VLOOKUP(B21,TS!$B$2:$C$104,2,0)</f>
        <v>R3</v>
      </c>
      <c r="E21" s="1" t="s">
        <v>2</v>
      </c>
      <c r="F21" s="1" t="str">
        <f aca="false">IF(D21&lt;&gt;E21,"Y","N")</f>
        <v>N</v>
      </c>
    </row>
    <row r="22" customFormat="false" ht="12.8" hidden="false" customHeight="false" outlineLevel="0" collapsed="false">
      <c r="A22" s="2" t="n">
        <v>21</v>
      </c>
      <c r="B22" s="2" t="s">
        <v>32</v>
      </c>
      <c r="C22" s="2" t="n">
        <v>103966279</v>
      </c>
      <c r="D22" s="1" t="str">
        <f aca="false">VLOOKUP(B22,TS!$B$2:$C$104,2,0)</f>
        <v>R3</v>
      </c>
      <c r="E22" s="1" t="s">
        <v>2</v>
      </c>
      <c r="F22" s="1" t="str">
        <f aca="false">IF(D22&lt;&gt;E22,"Y","N")</f>
        <v>N</v>
      </c>
    </row>
    <row r="23" customFormat="false" ht="12.8" hidden="false" customHeight="false" outlineLevel="0" collapsed="false">
      <c r="A23" s="2" t="n">
        <v>22</v>
      </c>
      <c r="B23" s="2" t="s">
        <v>33</v>
      </c>
      <c r="C23" s="2" t="n">
        <v>101150314</v>
      </c>
      <c r="D23" s="1" t="str">
        <f aca="false">VLOOKUP(B23,TS!$B$2:$C$104,2,0)</f>
        <v>R3</v>
      </c>
      <c r="E23" s="1" t="s">
        <v>2</v>
      </c>
      <c r="F23" s="1" t="str">
        <f aca="false">IF(D23&lt;&gt;E23,"Y","N")</f>
        <v>N</v>
      </c>
    </row>
    <row r="24" customFormat="false" ht="12.8" hidden="false" customHeight="false" outlineLevel="0" collapsed="false">
      <c r="A24" s="2" t="n">
        <v>23</v>
      </c>
      <c r="B24" s="2" t="s">
        <v>34</v>
      </c>
      <c r="C24" s="2" t="n">
        <v>98325580</v>
      </c>
      <c r="D24" s="1" t="str">
        <f aca="false">VLOOKUP(B24,TS!$B$2:$C$104,2,0)</f>
        <v>R3</v>
      </c>
      <c r="E24" s="1" t="s">
        <v>2</v>
      </c>
      <c r="F24" s="1" t="str">
        <f aca="false">IF(D24&lt;&gt;E24,"Y","N")</f>
        <v>N</v>
      </c>
    </row>
    <row r="25" customFormat="false" ht="12.8" hidden="false" customHeight="false" outlineLevel="0" collapsed="false">
      <c r="A25" s="2" t="n">
        <v>24</v>
      </c>
      <c r="B25" s="1" t="s">
        <v>35</v>
      </c>
      <c r="C25" s="2" t="n">
        <v>97489971</v>
      </c>
      <c r="D25" s="1" t="str">
        <f aca="false">VLOOKUP(B25,TS!$B$2:$C$104,2,0)</f>
        <v>R4</v>
      </c>
      <c r="E25" s="1" t="s">
        <v>13</v>
      </c>
      <c r="F25" s="1" t="str">
        <f aca="false">IF(D25&lt;&gt;E25,"Y","N")</f>
        <v>N</v>
      </c>
    </row>
    <row r="26" customFormat="false" ht="12.8" hidden="false" customHeight="false" outlineLevel="0" collapsed="false">
      <c r="A26" s="2" t="n">
        <v>25</v>
      </c>
      <c r="B26" s="1" t="s">
        <v>36</v>
      </c>
      <c r="C26" s="2" t="n">
        <v>97429522</v>
      </c>
      <c r="D26" s="1" t="str">
        <f aca="false">VLOOKUP(B26,TS!$B$2:$C$104,2,0)</f>
        <v>R4</v>
      </c>
      <c r="E26" s="1" t="s">
        <v>13</v>
      </c>
      <c r="F26" s="1" t="str">
        <f aca="false">IF(D26&lt;&gt;E26,"Y","N")</f>
        <v>N</v>
      </c>
    </row>
    <row r="27" customFormat="false" ht="12.8" hidden="false" customHeight="false" outlineLevel="0" collapsed="false">
      <c r="A27" s="2" t="n">
        <v>26</v>
      </c>
      <c r="B27" s="2" t="s">
        <v>37</v>
      </c>
      <c r="C27" s="2" t="n">
        <v>95375538</v>
      </c>
      <c r="D27" s="1" t="str">
        <f aca="false">VLOOKUP(B27,TS!$B$2:$C$104,2,0)</f>
        <v>R4</v>
      </c>
      <c r="E27" s="1" t="s">
        <v>13</v>
      </c>
      <c r="F27" s="1" t="str">
        <f aca="false">IF(D27&lt;&gt;E27,"Y","N")</f>
        <v>N</v>
      </c>
    </row>
    <row r="28" customFormat="false" ht="12.8" hidden="false" customHeight="false" outlineLevel="0" collapsed="false">
      <c r="A28" s="2" t="n">
        <v>27</v>
      </c>
      <c r="B28" s="2" t="s">
        <v>38</v>
      </c>
      <c r="C28" s="2" t="n">
        <v>95074876</v>
      </c>
      <c r="D28" s="1" t="str">
        <f aca="false">VLOOKUP(B28,TS!$B$2:$C$104,2,0)</f>
        <v>R5</v>
      </c>
      <c r="E28" s="1" t="s">
        <v>39</v>
      </c>
      <c r="F28" s="1" t="str">
        <f aca="false">IF(D28&lt;&gt;E28,"Y","N")</f>
        <v>N</v>
      </c>
    </row>
    <row r="29" customFormat="false" ht="12.8" hidden="false" customHeight="false" outlineLevel="0" collapsed="false">
      <c r="A29" s="2" t="n">
        <v>28</v>
      </c>
      <c r="B29" s="2" t="s">
        <v>40</v>
      </c>
      <c r="C29" s="2" t="n">
        <v>94691571</v>
      </c>
      <c r="D29" s="1" t="str">
        <f aca="false">VLOOKUP(B29,TS!$B$2:$C$104,2,0)</f>
        <v>R2</v>
      </c>
      <c r="E29" s="1" t="s">
        <v>2</v>
      </c>
      <c r="F29" s="1" t="str">
        <f aca="false">IF(D29&lt;&gt;E29,"Y","N")</f>
        <v>Y</v>
      </c>
    </row>
    <row r="30" customFormat="false" ht="12.8" hidden="false" customHeight="false" outlineLevel="0" collapsed="false">
      <c r="A30" s="2" t="n">
        <v>29</v>
      </c>
      <c r="B30" s="1" t="s">
        <v>41</v>
      </c>
      <c r="C30" s="2" t="n">
        <v>94325902</v>
      </c>
      <c r="D30" s="1" t="str">
        <f aca="false">VLOOKUP(B30,TS!$B$2:$C$104,2,0)</f>
        <v>R3</v>
      </c>
      <c r="E30" s="1" t="s">
        <v>2</v>
      </c>
      <c r="F30" s="1" t="str">
        <f aca="false">IF(D30&lt;&gt;E30,"Y","N")</f>
        <v>N</v>
      </c>
    </row>
    <row r="31" customFormat="false" ht="12.8" hidden="false" customHeight="false" outlineLevel="0" collapsed="false">
      <c r="A31" s="2" t="n">
        <v>30</v>
      </c>
      <c r="B31" s="2" t="s">
        <v>42</v>
      </c>
      <c r="C31" s="2" t="n">
        <v>91527278</v>
      </c>
      <c r="D31" s="1" t="str">
        <f aca="false">VLOOKUP(B31,TS!$B$2:$C$104,2,0)</f>
        <v>R3</v>
      </c>
      <c r="E31" s="1" t="s">
        <v>2</v>
      </c>
      <c r="F31" s="1" t="str">
        <f aca="false">IF(D31&lt;&gt;E31,"Y","N")</f>
        <v>N</v>
      </c>
    </row>
    <row r="32" customFormat="false" ht="12.8" hidden="false" customHeight="false" outlineLevel="0" collapsed="false">
      <c r="A32" s="2" t="n">
        <v>31</v>
      </c>
      <c r="B32" s="2" t="s">
        <v>43</v>
      </c>
      <c r="C32" s="2" t="n">
        <v>90702259</v>
      </c>
      <c r="D32" s="1" t="str">
        <f aca="false">VLOOKUP(B32,TS!$B$2:$C$104,2,0)</f>
        <v>R3</v>
      </c>
      <c r="E32" s="1" t="s">
        <v>2</v>
      </c>
      <c r="F32" s="1" t="str">
        <f aca="false">IF(D32&lt;&gt;E32,"Y","N")</f>
        <v>N</v>
      </c>
    </row>
    <row r="33" customFormat="false" ht="12.8" hidden="false" customHeight="false" outlineLevel="0" collapsed="false">
      <c r="A33" s="2" t="n">
        <v>32</v>
      </c>
      <c r="B33" s="2" t="s">
        <v>44</v>
      </c>
      <c r="C33" s="2" t="n">
        <v>90244919</v>
      </c>
      <c r="D33" s="1" t="str">
        <f aca="false">VLOOKUP(B33,TS!$B$2:$C$104,2,0)</f>
        <v>R3</v>
      </c>
      <c r="E33" s="1" t="s">
        <v>2</v>
      </c>
      <c r="F33" s="1" t="str">
        <f aca="false">IF(D33&lt;&gt;E33,"Y","N")</f>
        <v>N</v>
      </c>
    </row>
    <row r="34" customFormat="false" ht="12.8" hidden="false" customHeight="false" outlineLevel="0" collapsed="false">
      <c r="A34" s="2" t="n">
        <v>33</v>
      </c>
      <c r="B34" s="2" t="s">
        <v>45</v>
      </c>
      <c r="C34" s="2" t="n">
        <v>87507047</v>
      </c>
      <c r="D34" s="1" t="str">
        <f aca="false">VLOOKUP(B34,TS!$B$2:$C$104,2,0)</f>
        <v>R4</v>
      </c>
      <c r="E34" s="1" t="s">
        <v>13</v>
      </c>
      <c r="F34" s="1" t="str">
        <f aca="false">IF(D34&lt;&gt;E34,"Y","N")</f>
        <v>N</v>
      </c>
    </row>
    <row r="35" customFormat="false" ht="12.8" hidden="false" customHeight="false" outlineLevel="0" collapsed="false">
      <c r="A35" s="2" t="n">
        <v>34</v>
      </c>
      <c r="B35" s="2" t="s">
        <v>46</v>
      </c>
      <c r="C35" s="2" t="n">
        <v>86874424</v>
      </c>
      <c r="D35" s="1" t="str">
        <f aca="false">VLOOKUP(B35,TS!$B$2:$C$104,2,0)</f>
        <v>R2</v>
      </c>
      <c r="E35" s="1" t="s">
        <v>2</v>
      </c>
      <c r="F35" s="1" t="str">
        <f aca="false">IF(D35&lt;&gt;E35,"Y","N")</f>
        <v>Y</v>
      </c>
    </row>
    <row r="36" customFormat="false" ht="12.8" hidden="false" customHeight="false" outlineLevel="0" collapsed="false">
      <c r="A36" s="2" t="n">
        <v>35</v>
      </c>
      <c r="B36" s="2" t="s">
        <v>47</v>
      </c>
      <c r="C36" s="2" t="n">
        <v>86530803</v>
      </c>
      <c r="D36" s="1" t="str">
        <f aca="false">VLOOKUP(B36,TS!$B$2:$C$104,2,0)</f>
        <v>R4</v>
      </c>
      <c r="E36" s="1" t="s">
        <v>13</v>
      </c>
      <c r="F36" s="1" t="s">
        <v>48</v>
      </c>
      <c r="G36" s="1"/>
    </row>
    <row r="37" customFormat="false" ht="12.8" hidden="false" customHeight="false" outlineLevel="0" collapsed="false">
      <c r="A37" s="2" t="n">
        <v>36</v>
      </c>
      <c r="B37" s="2" t="s">
        <v>49</v>
      </c>
      <c r="C37" s="2" t="n">
        <v>85521444</v>
      </c>
      <c r="D37" s="1" t="str">
        <f aca="false">VLOOKUP(B37,TS!$B$2:$C$104,2,0)</f>
        <v>R3</v>
      </c>
      <c r="E37" s="1" t="s">
        <v>2</v>
      </c>
      <c r="F37" s="1" t="str">
        <f aca="false">IF(D37&lt;&gt;E37,"Y","N")</f>
        <v>N</v>
      </c>
    </row>
    <row r="38" customFormat="false" ht="12.8" hidden="false" customHeight="false" outlineLevel="0" collapsed="false">
      <c r="A38" s="2" t="n">
        <v>37</v>
      </c>
      <c r="B38" s="2" t="s">
        <v>50</v>
      </c>
      <c r="C38" s="2" t="n">
        <v>85352470</v>
      </c>
      <c r="D38" s="1" t="str">
        <f aca="false">VLOOKUP(B38,TS!$B$2:$C$104,2,0)</f>
        <v>R3</v>
      </c>
      <c r="E38" s="1" t="s">
        <v>2</v>
      </c>
      <c r="F38" s="1" t="str">
        <f aca="false">IF(D38&lt;&gt;E38,"Y","N")</f>
        <v>N</v>
      </c>
    </row>
    <row r="39" customFormat="false" ht="12.8" hidden="false" customHeight="false" outlineLevel="0" collapsed="false">
      <c r="A39" s="2" t="n">
        <v>38</v>
      </c>
      <c r="B39" s="2" t="s">
        <v>51</v>
      </c>
      <c r="C39" s="2" t="n">
        <v>85350125</v>
      </c>
      <c r="D39" s="1" t="str">
        <f aca="false">VLOOKUP(B39,TS!$B$2:$C$104,2,0)</f>
        <v>R3</v>
      </c>
      <c r="E39" s="1" t="s">
        <v>2</v>
      </c>
      <c r="F39" s="1" t="str">
        <f aca="false">IF(D39&lt;&gt;E39,"Y","N")</f>
        <v>N</v>
      </c>
    </row>
    <row r="40" customFormat="false" ht="12.8" hidden="false" customHeight="false" outlineLevel="0" collapsed="false">
      <c r="A40" s="2" t="n">
        <v>39</v>
      </c>
      <c r="B40" s="2" t="s">
        <v>52</v>
      </c>
      <c r="C40" s="2" t="n">
        <v>83796421</v>
      </c>
      <c r="D40" s="1" t="str">
        <f aca="false">VLOOKUP(B40,TS!$B$2:$C$104,2,0)</f>
        <v>R3</v>
      </c>
      <c r="E40" s="1" t="s">
        <v>2</v>
      </c>
      <c r="F40" s="1" t="str">
        <f aca="false">IF(D40&lt;&gt;E40,"Y","N")</f>
        <v>N</v>
      </c>
    </row>
    <row r="41" customFormat="false" ht="12.8" hidden="false" customHeight="false" outlineLevel="0" collapsed="false">
      <c r="A41" s="2" t="n">
        <v>40</v>
      </c>
      <c r="B41" s="2" t="s">
        <v>53</v>
      </c>
      <c r="C41" s="2" t="n">
        <v>82223922</v>
      </c>
      <c r="D41" s="1" t="str">
        <f aca="false">VLOOKUP(B41,TS!$B$2:$C$104,2,0)</f>
        <v>R3</v>
      </c>
      <c r="E41" s="1" t="s">
        <v>2</v>
      </c>
      <c r="F41" s="1" t="str">
        <f aca="false">IF(D41&lt;&gt;E41,"Y","N")</f>
        <v>N</v>
      </c>
    </row>
    <row r="42" customFormat="false" ht="12.8" hidden="false" customHeight="false" outlineLevel="0" collapsed="false">
      <c r="A42" s="2" t="n">
        <v>41</v>
      </c>
      <c r="B42" s="2" t="s">
        <v>54</v>
      </c>
      <c r="C42" s="2" t="n">
        <v>80913438</v>
      </c>
      <c r="D42" s="1" t="str">
        <f aca="false">VLOOKUP(B42,TS!$B$2:$C$104,2,0)</f>
        <v>R2</v>
      </c>
      <c r="E42" s="1" t="s">
        <v>2</v>
      </c>
      <c r="F42" s="1" t="str">
        <f aca="false">IF(D42&lt;&gt;E42,"Y","N")</f>
        <v>Y</v>
      </c>
    </row>
    <row r="43" customFormat="false" ht="12.8" hidden="false" customHeight="false" outlineLevel="0" collapsed="false">
      <c r="A43" s="2" t="n">
        <v>42</v>
      </c>
      <c r="B43" s="2" t="s">
        <v>55</v>
      </c>
      <c r="C43" s="2" t="n">
        <v>80828058</v>
      </c>
      <c r="D43" s="1" t="str">
        <f aca="false">VLOOKUP(B43,TS!$B$2:$C$104,2,0)</f>
        <v>R3</v>
      </c>
      <c r="E43" s="1" t="s">
        <v>2</v>
      </c>
      <c r="F43" s="1" t="str">
        <f aca="false">IF(D43&lt;&gt;E43,"Y","N")</f>
        <v>N</v>
      </c>
    </row>
    <row r="44" customFormat="false" ht="12.8" hidden="false" customHeight="false" outlineLevel="0" collapsed="false">
      <c r="A44" s="2" t="n">
        <v>43</v>
      </c>
      <c r="B44" s="2" t="s">
        <v>56</v>
      </c>
      <c r="C44" s="2" t="n">
        <v>80403943</v>
      </c>
      <c r="D44" s="1" t="str">
        <f aca="false">VLOOKUP(B44,TS!$B$2:$C$104,2,0)</f>
        <v>R4</v>
      </c>
      <c r="E44" s="1" t="s">
        <v>13</v>
      </c>
      <c r="F44" s="1" t="str">
        <f aca="false">IF(D44&lt;&gt;E44,"Y","N")</f>
        <v>N</v>
      </c>
    </row>
    <row r="45" customFormat="false" ht="12.8" hidden="false" customHeight="false" outlineLevel="0" collapsed="false">
      <c r="A45" s="2" t="n">
        <v>44</v>
      </c>
      <c r="B45" s="2" t="s">
        <v>57</v>
      </c>
      <c r="C45" s="2" t="n">
        <v>78956256</v>
      </c>
      <c r="D45" s="1" t="str">
        <f aca="false">VLOOKUP(B45,TS!$B$2:$C$104,2,0)</f>
        <v>R2</v>
      </c>
      <c r="E45" s="1" t="s">
        <v>2</v>
      </c>
      <c r="F45" s="1" t="str">
        <f aca="false">IF(D45&lt;&gt;E45,"Y","N")</f>
        <v>Y</v>
      </c>
    </row>
    <row r="46" customFormat="false" ht="12.8" hidden="false" customHeight="false" outlineLevel="0" collapsed="false">
      <c r="A46" s="2" t="n">
        <v>45</v>
      </c>
      <c r="B46" s="2" t="s">
        <v>58</v>
      </c>
      <c r="C46" s="2" t="n">
        <v>77161104</v>
      </c>
      <c r="D46" s="1" t="str">
        <f aca="false">VLOOKUP(B46,TS!$B$2:$C$104,2,0)</f>
        <v>R3</v>
      </c>
      <c r="E46" s="1" t="s">
        <v>2</v>
      </c>
      <c r="F46" s="1" t="str">
        <f aca="false">IF(D46&lt;&gt;E46,"Y","N")</f>
        <v>N</v>
      </c>
    </row>
    <row r="47" customFormat="false" ht="12.8" hidden="false" customHeight="false" outlineLevel="0" collapsed="false">
      <c r="A47" s="2" t="n">
        <v>46</v>
      </c>
      <c r="B47" s="2" t="s">
        <v>59</v>
      </c>
      <c r="C47" s="2" t="n">
        <v>76411972</v>
      </c>
      <c r="D47" s="1" t="str">
        <f aca="false">VLOOKUP(B47,TS!$B$2:$C$104,2,0)</f>
        <v>R2</v>
      </c>
      <c r="E47" s="1" t="s">
        <v>2</v>
      </c>
      <c r="F47" s="1" t="str">
        <f aca="false">IF(D47&lt;&gt;E47,"Y","N")</f>
        <v>Y</v>
      </c>
    </row>
    <row r="48" customFormat="false" ht="12.8" hidden="false" customHeight="false" outlineLevel="0" collapsed="false">
      <c r="A48" s="2" t="n">
        <v>47</v>
      </c>
      <c r="B48" s="2" t="s">
        <v>60</v>
      </c>
      <c r="C48" s="2" t="n">
        <v>76136056</v>
      </c>
      <c r="D48" s="1" t="str">
        <f aca="false">VLOOKUP(B48,TS!$B$2:$C$104,2,0)</f>
        <v>R3</v>
      </c>
      <c r="E48" s="1" t="s">
        <v>2</v>
      </c>
      <c r="F48" s="1" t="str">
        <f aca="false">IF(D48&lt;&gt;E48,"Y","N")</f>
        <v>N</v>
      </c>
    </row>
    <row r="49" customFormat="false" ht="12.8" hidden="false" customHeight="false" outlineLevel="0" collapsed="false">
      <c r="A49" s="2" t="n">
        <v>48</v>
      </c>
      <c r="B49" s="1" t="s">
        <v>61</v>
      </c>
      <c r="C49" s="2" t="n">
        <v>75660648</v>
      </c>
      <c r="D49" s="1" t="str">
        <f aca="false">VLOOKUP(B49,TS!$B$2:$C$104,2,0)</f>
        <v>R3</v>
      </c>
      <c r="E49" s="1" t="s">
        <v>2</v>
      </c>
      <c r="F49" s="1" t="str">
        <f aca="false">IF(D49&lt;&gt;E49,"Y","N")</f>
        <v>N</v>
      </c>
    </row>
    <row r="50" customFormat="false" ht="12.8" hidden="false" customHeight="false" outlineLevel="0" collapsed="false">
      <c r="A50" s="2" t="n">
        <v>49</v>
      </c>
      <c r="B50" s="2" t="s">
        <v>62</v>
      </c>
      <c r="C50" s="2" t="n">
        <v>74837657</v>
      </c>
      <c r="D50" s="1" t="str">
        <f aca="false">VLOOKUP(B50,TS!$B$2:$C$104,2,0)</f>
        <v>R2</v>
      </c>
      <c r="E50" s="1" t="s">
        <v>2</v>
      </c>
      <c r="F50" s="1" t="str">
        <f aca="false">IF(D50&lt;&gt;E50,"Y","N")</f>
        <v>Y</v>
      </c>
    </row>
    <row r="51" customFormat="false" ht="12.8" hidden="false" customHeight="false" outlineLevel="0" collapsed="false">
      <c r="A51" s="2" t="n">
        <v>50</v>
      </c>
      <c r="B51" s="2" t="s">
        <v>63</v>
      </c>
      <c r="C51" s="2" t="n">
        <v>74740191</v>
      </c>
      <c r="D51" s="1" t="str">
        <f aca="false">VLOOKUP(B51,TS!$B$2:$C$104,2,0)</f>
        <v>R4</v>
      </c>
      <c r="E51" s="1" t="s">
        <v>13</v>
      </c>
      <c r="F51" s="1" t="str">
        <f aca="false">IF(D51&lt;&gt;E51,"Y","N")</f>
        <v>N</v>
      </c>
    </row>
    <row r="52" customFormat="false" ht="12.8" hidden="false" customHeight="false" outlineLevel="0" collapsed="false">
      <c r="A52" s="2" t="n">
        <v>51</v>
      </c>
      <c r="B52" s="2" t="s">
        <v>64</v>
      </c>
      <c r="C52" s="2" t="n">
        <v>73080006</v>
      </c>
      <c r="D52" s="1" t="str">
        <f aca="false">VLOOKUP(B52,TS!$B$2:$C$104,2,0)</f>
        <v>R3</v>
      </c>
      <c r="E52" s="1" t="s">
        <v>2</v>
      </c>
      <c r="F52" s="1" t="str">
        <f aca="false">IF(D52&lt;&gt;E52,"Y","N")</f>
        <v>N</v>
      </c>
      <c r="G52" s="2"/>
    </row>
    <row r="53" customFormat="false" ht="12.8" hidden="false" customHeight="false" outlineLevel="0" collapsed="false">
      <c r="A53" s="2" t="n">
        <v>52</v>
      </c>
      <c r="B53" s="2" t="s">
        <v>65</v>
      </c>
      <c r="C53" s="2" t="n">
        <v>72722222</v>
      </c>
      <c r="D53" s="1" t="str">
        <f aca="false">VLOOKUP(B53,TS!$B$2:$C$104,2,0)</f>
        <v>R3</v>
      </c>
      <c r="E53" s="1" t="s">
        <v>2</v>
      </c>
      <c r="F53" s="1" t="str">
        <f aca="false">IF(D53&lt;&gt;E53,"Y","N")</f>
        <v>N</v>
      </c>
    </row>
    <row r="54" customFormat="false" ht="12.8" hidden="false" customHeight="false" outlineLevel="0" collapsed="false">
      <c r="A54" s="2" t="n">
        <v>53</v>
      </c>
      <c r="B54" s="2" t="s">
        <v>66</v>
      </c>
      <c r="C54" s="2" t="n">
        <v>71743913</v>
      </c>
      <c r="D54" s="1" t="str">
        <f aca="false">VLOOKUP(B54,TS!$B$2:$C$104,2,0)</f>
        <v>R2</v>
      </c>
      <c r="E54" s="1" t="s">
        <v>2</v>
      </c>
      <c r="F54" s="1" t="str">
        <f aca="false">IF(D54&lt;&gt;E54,"Y","N")</f>
        <v>Y</v>
      </c>
    </row>
    <row r="55" customFormat="false" ht="12.8" hidden="false" customHeight="false" outlineLevel="0" collapsed="false">
      <c r="A55" s="2" t="n">
        <v>54</v>
      </c>
      <c r="B55" s="2" t="s">
        <v>67</v>
      </c>
      <c r="C55" s="2" t="n">
        <v>71525520</v>
      </c>
      <c r="D55" s="1" t="str">
        <f aca="false">VLOOKUP(B55,TS!$B$2:$C$104,2,0)</f>
        <v>R3</v>
      </c>
      <c r="E55" s="1" t="s">
        <v>2</v>
      </c>
      <c r="F55" s="1" t="str">
        <f aca="false">IF(D55&lt;&gt;E55,"Y","N")</f>
        <v>N</v>
      </c>
    </row>
    <row r="56" customFormat="false" ht="12.8" hidden="false" customHeight="false" outlineLevel="0" collapsed="false">
      <c r="A56" s="2" t="n">
        <v>55</v>
      </c>
      <c r="B56" s="2" t="s">
        <v>68</v>
      </c>
      <c r="C56" s="2" t="n">
        <v>69542028</v>
      </c>
      <c r="D56" s="1" t="str">
        <f aca="false">VLOOKUP(B56,TS!$B$2:$C$104,2,0)</f>
        <v>R2</v>
      </c>
      <c r="E56" s="1" t="s">
        <v>2</v>
      </c>
      <c r="F56" s="1" t="str">
        <f aca="false">IF(D56&lt;&gt;E56,"Y","N")</f>
        <v>Y</v>
      </c>
    </row>
    <row r="57" customFormat="false" ht="12.8" hidden="false" customHeight="false" outlineLevel="0" collapsed="false">
      <c r="A57" s="2" t="n">
        <v>56</v>
      </c>
      <c r="B57" s="2" t="s">
        <v>69</v>
      </c>
      <c r="C57" s="2" t="n">
        <v>67927813</v>
      </c>
      <c r="D57" s="1" t="str">
        <f aca="false">VLOOKUP(B57,TS!$B$2:$C$104,2,0)</f>
        <v>R3</v>
      </c>
      <c r="E57" s="1" t="s">
        <v>2</v>
      </c>
      <c r="F57" s="1" t="str">
        <f aca="false">IF(D57&lt;&gt;E57,"Y","N")</f>
        <v>N</v>
      </c>
    </row>
    <row r="58" customFormat="false" ht="12.8" hidden="false" customHeight="false" outlineLevel="0" collapsed="false">
      <c r="A58" s="2" t="n">
        <v>57</v>
      </c>
      <c r="B58" s="2" t="s">
        <v>70</v>
      </c>
      <c r="C58" s="2" t="n">
        <v>67649429</v>
      </c>
      <c r="D58" s="1" t="str">
        <f aca="false">VLOOKUP(B58,TS!$B$2:$C$104,2,0)</f>
        <v>R2</v>
      </c>
      <c r="E58" s="1" t="s">
        <v>2</v>
      </c>
      <c r="F58" s="1" t="str">
        <f aca="false">IF(D58&lt;&gt;E58,"Y","N")</f>
        <v>Y</v>
      </c>
    </row>
    <row r="59" customFormat="false" ht="12.8" hidden="false" customHeight="false" outlineLevel="0" collapsed="false">
      <c r="A59" s="2" t="n">
        <v>58</v>
      </c>
      <c r="B59" s="2" t="s">
        <v>71</v>
      </c>
      <c r="C59" s="2" t="n">
        <v>65014565</v>
      </c>
      <c r="D59" s="1" t="str">
        <f aca="false">VLOOKUP(B59,TS!$B$2:$C$104,2,0)</f>
        <v>R3</v>
      </c>
      <c r="E59" s="1" t="s">
        <v>2</v>
      </c>
      <c r="F59" s="1" t="str">
        <f aca="false">IF(D59&lt;&gt;E59,"Y","N")</f>
        <v>N</v>
      </c>
    </row>
    <row r="60" customFormat="false" ht="12.8" hidden="false" customHeight="false" outlineLevel="0" collapsed="false">
      <c r="A60" s="2" t="n">
        <v>59</v>
      </c>
      <c r="B60" s="2" t="s">
        <v>72</v>
      </c>
      <c r="C60" s="2" t="n">
        <v>63601600</v>
      </c>
      <c r="D60" s="1" t="str">
        <f aca="false">VLOOKUP(B60,TS!$B$2:$C$104,2,0)</f>
        <v>R2</v>
      </c>
      <c r="E60" s="1" t="s">
        <v>2</v>
      </c>
      <c r="F60" s="1" t="str">
        <f aca="false">IF(D60&lt;&gt;E60,"Y","N")</f>
        <v>Y</v>
      </c>
    </row>
    <row r="61" customFormat="false" ht="12.8" hidden="false" customHeight="false" outlineLevel="0" collapsed="false">
      <c r="A61" s="2" t="n">
        <v>60</v>
      </c>
      <c r="B61" s="2" t="s">
        <v>73</v>
      </c>
      <c r="C61" s="2" t="n">
        <v>63029800</v>
      </c>
      <c r="D61" s="1" t="str">
        <f aca="false">VLOOKUP(B61,TS!$B$2:$C$104,2,0)</f>
        <v>R3</v>
      </c>
      <c r="E61" s="1" t="s">
        <v>2</v>
      </c>
      <c r="F61" s="1" t="str">
        <f aca="false">IF(D61&lt;&gt;E61,"Y","N")</f>
        <v>N</v>
      </c>
    </row>
    <row r="62" customFormat="false" ht="12.8" hidden="false" customHeight="false" outlineLevel="0" collapsed="false">
      <c r="A62" s="2" t="n">
        <v>61</v>
      </c>
      <c r="B62" s="2" t="s">
        <v>74</v>
      </c>
      <c r="C62" s="2" t="n">
        <v>62837629</v>
      </c>
      <c r="D62" s="1" t="str">
        <f aca="false">VLOOKUP(B62,TS!$B$2:$C$104,2,0)</f>
        <v>R2</v>
      </c>
      <c r="E62" s="1" t="s">
        <v>2</v>
      </c>
      <c r="F62" s="1" t="str">
        <f aca="false">IF(D62&lt;&gt;E62,"Y","N")</f>
        <v>Y</v>
      </c>
    </row>
    <row r="63" customFormat="false" ht="12.8" hidden="false" customHeight="false" outlineLevel="0" collapsed="false">
      <c r="A63" s="2" t="n">
        <v>62</v>
      </c>
      <c r="B63" s="2" t="s">
        <v>75</v>
      </c>
      <c r="C63" s="2" t="n">
        <v>62185541</v>
      </c>
      <c r="D63" s="1" t="str">
        <f aca="false">VLOOKUP(B63,TS!$B$2:$C$104,2,0)</f>
        <v>R2</v>
      </c>
      <c r="E63" s="1" t="s">
        <v>2</v>
      </c>
      <c r="F63" s="1" t="str">
        <f aca="false">IF(D63&lt;&gt;E63,"Y","N")</f>
        <v>Y</v>
      </c>
    </row>
    <row r="64" customFormat="false" ht="12.8" hidden="false" customHeight="false" outlineLevel="0" collapsed="false">
      <c r="A64" s="2" t="n">
        <v>63</v>
      </c>
      <c r="B64" s="2" t="s">
        <v>76</v>
      </c>
      <c r="C64" s="2" t="n">
        <v>62141538</v>
      </c>
      <c r="D64" s="1" t="str">
        <f aca="false">VLOOKUP(B64,TS!$B$2:$C$104,2,0)</f>
        <v>R2</v>
      </c>
      <c r="E64" s="1" t="s">
        <v>2</v>
      </c>
      <c r="F64" s="1" t="str">
        <f aca="false">IF(D64&lt;&gt;E64,"Y","N")</f>
        <v>Y</v>
      </c>
    </row>
    <row r="65" customFormat="false" ht="12.8" hidden="false" customHeight="false" outlineLevel="0" collapsed="false">
      <c r="A65" s="2" t="n">
        <v>64</v>
      </c>
      <c r="B65" s="2" t="s">
        <v>77</v>
      </c>
      <c r="C65" s="2" t="n">
        <v>62024942</v>
      </c>
      <c r="D65" s="1" t="str">
        <f aca="false">VLOOKUP(B65,TS!$B$2:$C$104,2,0)</f>
        <v>R3</v>
      </c>
      <c r="E65" s="1" t="s">
        <v>2</v>
      </c>
      <c r="F65" s="1" t="str">
        <f aca="false">IF(D65&lt;&gt;E65,"Y","N")</f>
        <v>N</v>
      </c>
    </row>
    <row r="66" customFormat="false" ht="12.8" hidden="false" customHeight="false" outlineLevel="0" collapsed="false">
      <c r="A66" s="2" t="n">
        <v>65</v>
      </c>
      <c r="B66" s="2" t="s">
        <v>78</v>
      </c>
      <c r="C66" s="2" t="n">
        <v>61853591</v>
      </c>
      <c r="D66" s="1" t="str">
        <f aca="false">VLOOKUP(B66,TS!$B$2:$C$104,2,0)</f>
        <v>R3</v>
      </c>
      <c r="E66" s="1" t="s">
        <v>2</v>
      </c>
      <c r="F66" s="1" t="str">
        <f aca="false">IF(D66&lt;&gt;E66,"Y","N")</f>
        <v>N</v>
      </c>
    </row>
    <row r="67" customFormat="false" ht="12.8" hidden="false" customHeight="false" outlineLevel="0" collapsed="false">
      <c r="A67" s="2" t="n">
        <v>66</v>
      </c>
      <c r="B67" s="3" t="s">
        <v>79</v>
      </c>
      <c r="C67" s="2" t="n">
        <v>61347906</v>
      </c>
      <c r="D67" s="1" t="str">
        <f aca="false">VLOOKUP(B67,TS!$B$2:$C$104,2,0)</f>
        <v>R2</v>
      </c>
      <c r="E67" s="1" t="s">
        <v>2</v>
      </c>
      <c r="F67" s="1" t="str">
        <f aca="false">IF(D67&lt;&gt;E67,"Y","N")</f>
        <v>Y</v>
      </c>
    </row>
    <row r="68" customFormat="false" ht="12.8" hidden="false" customHeight="false" outlineLevel="0" collapsed="false">
      <c r="A68" s="2" t="n">
        <v>67</v>
      </c>
      <c r="B68" s="2" t="s">
        <v>80</v>
      </c>
      <c r="C68" s="2" t="n">
        <v>61053077</v>
      </c>
      <c r="D68" s="1" t="str">
        <f aca="false">VLOOKUP(B68,TS!$B$2:$C$104,2,0)</f>
        <v>R3</v>
      </c>
      <c r="E68" s="1" t="s">
        <v>2</v>
      </c>
      <c r="F68" s="1" t="str">
        <f aca="false">IF(D68&lt;&gt;E68,"Y","N")</f>
        <v>N</v>
      </c>
    </row>
    <row r="69" customFormat="false" ht="12.8" hidden="false" customHeight="false" outlineLevel="0" collapsed="false">
      <c r="A69" s="2" t="n">
        <v>68</v>
      </c>
      <c r="B69" s="2" t="s">
        <v>81</v>
      </c>
      <c r="C69" s="2" t="n">
        <v>59016441</v>
      </c>
      <c r="D69" s="1" t="str">
        <f aca="false">VLOOKUP(B69,TS!$B$2:$C$104,2,0)</f>
        <v>R2</v>
      </c>
      <c r="E69" s="1" t="s">
        <v>2</v>
      </c>
      <c r="F69" s="1" t="str">
        <f aca="false">IF(D69&lt;&gt;E69,"Y","N")</f>
        <v>Y</v>
      </c>
    </row>
    <row r="70" customFormat="false" ht="12.8" hidden="false" customHeight="false" outlineLevel="0" collapsed="false">
      <c r="A70" s="2" t="n">
        <v>69</v>
      </c>
      <c r="B70" s="2" t="s">
        <v>82</v>
      </c>
      <c r="C70" s="2" t="n">
        <v>58692916</v>
      </c>
      <c r="D70" s="1" t="str">
        <f aca="false">VLOOKUP(B70,TS!$B$2:$C$104,2,0)</f>
        <v>R1</v>
      </c>
      <c r="E70" s="1" t="s">
        <v>2</v>
      </c>
      <c r="F70" s="1" t="str">
        <f aca="false">IF(D70&lt;&gt;E70,"Y","N")</f>
        <v>Y</v>
      </c>
    </row>
    <row r="71" customFormat="false" ht="12.8" hidden="false" customHeight="false" outlineLevel="0" collapsed="false">
      <c r="A71" s="2" t="n">
        <v>70</v>
      </c>
      <c r="B71" s="2" t="s">
        <v>83</v>
      </c>
      <c r="C71" s="2" t="n">
        <v>58598844</v>
      </c>
      <c r="D71" s="1" t="str">
        <f aca="false">VLOOKUP(B71,TS!$B$2:$C$104,2,0)</f>
        <v>R3</v>
      </c>
      <c r="E71" s="1" t="s">
        <v>2</v>
      </c>
      <c r="F71" s="1" t="str">
        <f aca="false">IF(D71&lt;&gt;E71,"Y","N")</f>
        <v>N</v>
      </c>
    </row>
    <row r="72" customFormat="false" ht="12.8" hidden="false" customHeight="false" outlineLevel="0" collapsed="false">
      <c r="A72" s="2" t="n">
        <v>71</v>
      </c>
      <c r="B72" s="4" t="s">
        <v>84</v>
      </c>
      <c r="C72" s="2" t="n">
        <v>56800539</v>
      </c>
      <c r="D72" s="1" t="str">
        <f aca="false">VLOOKUP(B72,TS!$B$2:$C$104,2,0)</f>
        <v>R2</v>
      </c>
      <c r="E72" s="1" t="s">
        <v>2</v>
      </c>
      <c r="F72" s="1" t="s">
        <v>48</v>
      </c>
      <c r="G72" s="1"/>
    </row>
    <row r="73" customFormat="false" ht="12.8" hidden="false" customHeight="false" outlineLevel="0" collapsed="false">
      <c r="A73" s="2" t="n">
        <v>72</v>
      </c>
      <c r="B73" s="2" t="s">
        <v>85</v>
      </c>
      <c r="C73" s="2" t="n">
        <v>56567839</v>
      </c>
      <c r="D73" s="1" t="str">
        <f aca="false">VLOOKUP(B73,TS!$B$2:$C$104,2,0)</f>
        <v>R2</v>
      </c>
      <c r="E73" s="1" t="s">
        <v>2</v>
      </c>
      <c r="F73" s="1" t="str">
        <f aca="false">IF(D73&lt;&gt;E73,"Y","N")</f>
        <v>Y</v>
      </c>
    </row>
    <row r="74" customFormat="false" ht="12.8" hidden="false" customHeight="false" outlineLevel="0" collapsed="false">
      <c r="A74" s="2" t="n">
        <v>73</v>
      </c>
      <c r="B74" s="2" t="s">
        <v>86</v>
      </c>
      <c r="C74" s="2" t="n">
        <v>56192603</v>
      </c>
      <c r="D74" s="1" t="str">
        <f aca="false">VLOOKUP(B74,TS!$B$2:$C$104,2,0)</f>
        <v>R2</v>
      </c>
      <c r="E74" s="1" t="s">
        <v>2</v>
      </c>
      <c r="F74" s="1" t="str">
        <f aca="false">IF(D74&lt;&gt;E74,"Y","N")</f>
        <v>Y</v>
      </c>
    </row>
    <row r="75" customFormat="false" ht="12.8" hidden="false" customHeight="false" outlineLevel="0" collapsed="false">
      <c r="A75" s="2" t="n">
        <v>74</v>
      </c>
      <c r="B75" s="2" t="s">
        <v>87</v>
      </c>
      <c r="C75" s="2" t="n">
        <v>52806655</v>
      </c>
      <c r="D75" s="1" t="str">
        <f aca="false">VLOOKUP(B75,TS!$B$2:$C$104,2,0)</f>
        <v>R2</v>
      </c>
      <c r="E75" s="1" t="s">
        <v>1</v>
      </c>
      <c r="F75" s="1" t="str">
        <f aca="false">IF(D75&lt;&gt;E75,"Y","N")</f>
        <v>N</v>
      </c>
    </row>
    <row r="76" customFormat="false" ht="12.8" hidden="false" customHeight="false" outlineLevel="0" collapsed="false">
      <c r="A76" s="2" t="n">
        <v>75</v>
      </c>
      <c r="B76" s="2" t="s">
        <v>88</v>
      </c>
      <c r="C76" s="2" t="n">
        <v>52363184</v>
      </c>
      <c r="D76" s="1" t="str">
        <f aca="false">VLOOKUP(B76,TS!$B$2:$C$104,2,0)</f>
        <v>R2</v>
      </c>
      <c r="E76" s="1" t="s">
        <v>1</v>
      </c>
      <c r="F76" s="1" t="str">
        <f aca="false">IF(D76&lt;&gt;E76,"Y","N")</f>
        <v>N</v>
      </c>
    </row>
    <row r="77" customFormat="false" ht="12.8" hidden="false" customHeight="false" outlineLevel="0" collapsed="false">
      <c r="A77" s="2" t="n">
        <v>76</v>
      </c>
      <c r="B77" s="2" t="s">
        <v>89</v>
      </c>
      <c r="C77" s="2" t="n">
        <v>51268680</v>
      </c>
      <c r="D77" s="1" t="str">
        <f aca="false">VLOOKUP(B77,TS!$B$2:$C$104,2,0)</f>
        <v>R3</v>
      </c>
      <c r="E77" s="1" t="s">
        <v>1</v>
      </c>
      <c r="F77" s="1" t="str">
        <f aca="false">IF(D77&lt;&gt;E77,"Y","N")</f>
        <v>Y</v>
      </c>
    </row>
    <row r="78" customFormat="false" ht="12.8" hidden="false" customHeight="false" outlineLevel="0" collapsed="false">
      <c r="A78" s="2" t="n">
        <v>77</v>
      </c>
      <c r="B78" s="2" t="s">
        <v>90</v>
      </c>
      <c r="C78" s="2" t="n">
        <v>51003173</v>
      </c>
      <c r="D78" s="1" t="str">
        <f aca="false">VLOOKUP(B78,TS!$B$2:$C$104,2,0)</f>
        <v>R2</v>
      </c>
      <c r="E78" s="1" t="s">
        <v>1</v>
      </c>
      <c r="F78" s="1" t="str">
        <f aca="false">IF(D78&lt;&gt;E78,"Y","N")</f>
        <v>N</v>
      </c>
    </row>
    <row r="79" customFormat="false" ht="12.8" hidden="false" customHeight="false" outlineLevel="0" collapsed="false">
      <c r="A79" s="2" t="n">
        <v>78</v>
      </c>
      <c r="B79" s="2" t="s">
        <v>91</v>
      </c>
      <c r="C79" s="2" t="n">
        <v>50633326</v>
      </c>
      <c r="D79" s="1" t="str">
        <f aca="false">VLOOKUP(B79,TS!$B$2:$C$104,2,0)</f>
        <v>R2</v>
      </c>
      <c r="E79" s="1" t="s">
        <v>2</v>
      </c>
      <c r="F79" s="1" t="s">
        <v>48</v>
      </c>
      <c r="G79" s="0" t="s">
        <v>2</v>
      </c>
    </row>
    <row r="80" customFormat="false" ht="12.8" hidden="false" customHeight="false" outlineLevel="0" collapsed="false">
      <c r="A80" s="2" t="n">
        <v>79</v>
      </c>
      <c r="B80" s="2" t="s">
        <v>92</v>
      </c>
      <c r="C80" s="2" t="n">
        <v>50233175</v>
      </c>
      <c r="D80" s="1" t="str">
        <f aca="false">VLOOKUP(B80,TS!$B$2:$C$104,2,0)</f>
        <v>R2</v>
      </c>
      <c r="E80" s="1" t="s">
        <v>1</v>
      </c>
      <c r="F80" s="1" t="str">
        <f aca="false">IF(D80&lt;&gt;E80,"Y","N")</f>
        <v>N</v>
      </c>
    </row>
    <row r="81" customFormat="false" ht="12.8" hidden="false" customHeight="false" outlineLevel="0" collapsed="false">
      <c r="A81" s="2" t="n">
        <v>80</v>
      </c>
      <c r="B81" s="2" t="s">
        <v>93</v>
      </c>
      <c r="C81" s="2" t="n">
        <v>48759812</v>
      </c>
      <c r="D81" s="1" t="str">
        <f aca="false">VLOOKUP(B81,TS!$B$2:$C$104,2,0)</f>
        <v>R2</v>
      </c>
      <c r="E81" s="1" t="s">
        <v>1</v>
      </c>
      <c r="F81" s="1" t="str">
        <f aca="false">IF(D81&lt;&gt;E81,"Y","N")</f>
        <v>N</v>
      </c>
    </row>
    <row r="82" customFormat="false" ht="12.8" hidden="false" customHeight="false" outlineLevel="0" collapsed="false">
      <c r="A82" s="2" t="n">
        <v>81</v>
      </c>
      <c r="B82" s="2" t="s">
        <v>94</v>
      </c>
      <c r="C82" s="2" t="n">
        <v>47157316</v>
      </c>
      <c r="D82" s="1" t="str">
        <f aca="false">VLOOKUP(B82,TS!$B$2:$C$104,2,0)</f>
        <v>R3</v>
      </c>
      <c r="E82" s="1" t="s">
        <v>1</v>
      </c>
      <c r="F82" s="1" t="str">
        <f aca="false">IF(D82&lt;&gt;E82,"Y","N")</f>
        <v>Y</v>
      </c>
    </row>
    <row r="83" customFormat="false" ht="12.8" hidden="false" customHeight="false" outlineLevel="0" collapsed="false">
      <c r="A83" s="2" t="n">
        <v>82</v>
      </c>
      <c r="B83" s="2" t="s">
        <v>95</v>
      </c>
      <c r="C83" s="2" t="n">
        <v>45123012</v>
      </c>
      <c r="D83" s="1" t="str">
        <f aca="false">VLOOKUP(B83,TS!$B$2:$C$104,2,0)</f>
        <v>R3</v>
      </c>
      <c r="E83" s="1" t="s">
        <v>1</v>
      </c>
      <c r="F83" s="1" t="str">
        <f aca="false">IF(D83&lt;&gt;E83,"Y","N")</f>
        <v>Y</v>
      </c>
    </row>
    <row r="84" customFormat="false" ht="12.8" hidden="false" customHeight="false" outlineLevel="0" collapsed="false">
      <c r="A84" s="2" t="n">
        <v>83</v>
      </c>
      <c r="B84" s="2" t="s">
        <v>96</v>
      </c>
      <c r="C84" s="2" t="n">
        <v>45039897</v>
      </c>
      <c r="D84" s="1" t="str">
        <f aca="false">VLOOKUP(B84,TS!$B$2:$C$104,2,0)</f>
        <v>R2</v>
      </c>
      <c r="E84" s="1" t="s">
        <v>1</v>
      </c>
      <c r="F84" s="1" t="str">
        <f aca="false">IF(D84&lt;&gt;E84,"Y","N")</f>
        <v>N</v>
      </c>
    </row>
    <row r="85" customFormat="false" ht="12.8" hidden="false" customHeight="false" outlineLevel="0" collapsed="false">
      <c r="A85" s="2" t="n">
        <v>84</v>
      </c>
      <c r="B85" s="2" t="s">
        <v>97</v>
      </c>
      <c r="C85" s="2" t="n">
        <v>43236102</v>
      </c>
      <c r="D85" s="1" t="str">
        <f aca="false">VLOOKUP(B85,TS!$B$2:$C$104,2,0)</f>
        <v>R3</v>
      </c>
      <c r="E85" s="1" t="s">
        <v>1</v>
      </c>
      <c r="F85" s="1" t="s">
        <v>48</v>
      </c>
      <c r="G85" s="0" t="s">
        <v>2</v>
      </c>
    </row>
    <row r="86" customFormat="false" ht="12.8" hidden="false" customHeight="false" outlineLevel="0" collapsed="false">
      <c r="A86" s="2" t="n">
        <v>85</v>
      </c>
      <c r="B86" s="2" t="s">
        <v>98</v>
      </c>
      <c r="C86" s="2" t="n">
        <v>42176227</v>
      </c>
      <c r="D86" s="1" t="str">
        <f aca="false">VLOOKUP(B86,TS!$B$2:$C$104,2,0)</f>
        <v>R3</v>
      </c>
      <c r="E86" s="1" t="s">
        <v>1</v>
      </c>
      <c r="F86" s="1" t="str">
        <f aca="false">IF(D86&lt;&gt;E86,"Y","N")</f>
        <v>Y</v>
      </c>
    </row>
    <row r="87" customFormat="false" ht="12.8" hidden="false" customHeight="false" outlineLevel="0" collapsed="false">
      <c r="A87" s="2" t="n">
        <v>86</v>
      </c>
      <c r="B87" s="2" t="s">
        <v>99</v>
      </c>
      <c r="C87" s="2" t="n">
        <v>37516187</v>
      </c>
      <c r="D87" s="1" t="str">
        <f aca="false">VLOOKUP(B87,TS!$B$2:$C$104,2,0)</f>
        <v>R1</v>
      </c>
      <c r="E87" s="1" t="s">
        <v>100</v>
      </c>
      <c r="F87" s="1" t="str">
        <f aca="false">IF(D87&lt;&gt;E87,"Y","N")</f>
        <v>N</v>
      </c>
      <c r="G87" s="1"/>
    </row>
    <row r="88" customFormat="false" ht="12.8" hidden="false" customHeight="false" outlineLevel="0" collapsed="false">
      <c r="A88" s="2" t="n">
        <v>87</v>
      </c>
      <c r="B88" s="2" t="s">
        <v>101</v>
      </c>
      <c r="C88" s="2" t="n">
        <v>36090884</v>
      </c>
      <c r="D88" s="1" t="str">
        <f aca="false">VLOOKUP(B88,TS!$B$2:$C$104,2,0)</f>
        <v>R2</v>
      </c>
      <c r="E88" s="1" t="s">
        <v>100</v>
      </c>
      <c r="F88" s="1" t="str">
        <f aca="false">IF(D88&lt;&gt;E88,"Y","N")</f>
        <v>Y</v>
      </c>
    </row>
    <row r="89" customFormat="false" ht="12.8" hidden="false" customHeight="false" outlineLevel="0" collapsed="false">
      <c r="A89" s="2" t="n">
        <v>88</v>
      </c>
      <c r="B89" s="2" t="s">
        <v>102</v>
      </c>
      <c r="C89" s="2" t="n">
        <v>36052729</v>
      </c>
      <c r="D89" s="1" t="str">
        <f aca="false">VLOOKUP(B89,TS!$B$2:$C$104,2,0)</f>
        <v>R2</v>
      </c>
      <c r="E89" s="1" t="s">
        <v>100</v>
      </c>
      <c r="F89" s="1" t="str">
        <f aca="false">IF(D89&lt;&gt;E89,"Y","N")</f>
        <v>Y</v>
      </c>
    </row>
    <row r="90" customFormat="false" ht="12.8" hidden="false" customHeight="false" outlineLevel="0" collapsed="false">
      <c r="A90" s="2" t="n">
        <v>89</v>
      </c>
      <c r="B90" s="1" t="s">
        <v>103</v>
      </c>
      <c r="C90" s="2" t="n">
        <v>36043577</v>
      </c>
      <c r="D90" s="1" t="str">
        <f aca="false">VLOOKUP(B90,TS!$B$2:$C$104,2,0)</f>
        <v>R1</v>
      </c>
      <c r="E90" s="1" t="s">
        <v>100</v>
      </c>
      <c r="F90" s="1" t="str">
        <f aca="false">IF(D90&lt;&gt;E90,"Y","N")</f>
        <v>N</v>
      </c>
    </row>
    <row r="91" customFormat="false" ht="12.8" hidden="false" customHeight="false" outlineLevel="0" collapsed="false">
      <c r="A91" s="2" t="n">
        <v>90</v>
      </c>
      <c r="B91" s="2" t="s">
        <v>104</v>
      </c>
      <c r="C91" s="2" t="n">
        <v>28245184</v>
      </c>
      <c r="D91" s="1" t="str">
        <f aca="false">VLOOKUP(B91,TS!$B$2:$C$104,2,0)</f>
        <v>R1</v>
      </c>
      <c r="E91" s="1" t="s">
        <v>100</v>
      </c>
      <c r="F91" s="1" t="str">
        <f aca="false">IF(D91&lt;&gt;E91,"Y","N")</f>
        <v>N</v>
      </c>
    </row>
    <row r="92" customFormat="false" ht="12.8" hidden="false" customHeight="false" outlineLevel="0" collapsed="false">
      <c r="A92" s="2" t="n">
        <v>91</v>
      </c>
      <c r="B92" s="2" t="s">
        <v>105</v>
      </c>
      <c r="C92" s="2" t="n">
        <v>23764825</v>
      </c>
      <c r="D92" s="1" t="str">
        <f aca="false">VLOOKUP(B92,TS!$B$2:$C$104,2,0)</f>
        <v>R2</v>
      </c>
      <c r="E92" s="1" t="s">
        <v>100</v>
      </c>
      <c r="F92" s="1" t="str">
        <f aca="false">IF(D92&lt;&gt;E92,"Y","N")</f>
        <v>Y</v>
      </c>
    </row>
    <row r="93" customFormat="false" ht="12.8" hidden="false" customHeight="false" outlineLevel="0" collapsed="false">
      <c r="A93" s="2" t="n">
        <v>92</v>
      </c>
      <c r="B93" s="2" t="s">
        <v>106</v>
      </c>
      <c r="C93" s="2" t="n">
        <v>184300</v>
      </c>
      <c r="D93" s="1" t="str">
        <f aca="false">VLOOKUP(B93,TS!$B$2:$C$104,2,0)</f>
        <v>R1</v>
      </c>
      <c r="E93" s="1" t="s">
        <v>100</v>
      </c>
      <c r="F93" s="1" t="str">
        <f aca="false">IF(D93&lt;&gt;E93,"Y","N")</f>
        <v>N</v>
      </c>
    </row>
    <row r="94" customFormat="false" ht="12.8" hidden="false" customHeight="false" outlineLevel="0" collapsed="false">
      <c r="A94" s="2"/>
      <c r="B94" s="2"/>
      <c r="C94" s="2"/>
    </row>
    <row r="95" customFormat="false" ht="12.8" hidden="false" customHeight="false" outlineLevel="0" collapsed="false">
      <c r="A95" s="2"/>
      <c r="B95" s="2"/>
      <c r="C95" s="2"/>
      <c r="G95" s="1"/>
    </row>
    <row r="96" customFormat="false" ht="12.8" hidden="false" customHeight="false" outlineLevel="0" collapsed="false">
      <c r="A96" s="2"/>
      <c r="C96" s="2"/>
    </row>
    <row r="97" customFormat="false" ht="12.8" hidden="false" customHeight="false" outlineLevel="0" collapsed="false">
      <c r="A97" s="2"/>
      <c r="B97" s="2"/>
      <c r="C97" s="2"/>
      <c r="G97" s="1"/>
    </row>
    <row r="98" customFormat="false" ht="12.8" hidden="false" customHeight="false" outlineLevel="0" collapsed="false">
      <c r="A98" s="1"/>
    </row>
    <row r="99" customFormat="false" ht="12.8" hidden="false" customHeight="false" outlineLevel="0" collapsed="false">
      <c r="A99" s="1"/>
    </row>
    <row r="100" customFormat="false" ht="12.8" hidden="false" customHeight="false" outlineLevel="0" collapsed="false">
      <c r="A100" s="1"/>
    </row>
    <row r="101" customFormat="false" ht="12.8" hidden="false" customHeight="true" outlineLevel="0" collapsed="false">
      <c r="A101" s="1"/>
    </row>
  </sheetData>
  <autoFilter ref="A1:G9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8"/>
  <sheetViews>
    <sheetView showFormulas="false" showGridLines="true" showRowColHeaders="true" showZeros="true" rightToLeft="false" tabSelected="false" showOutlineSymbols="true" defaultGridColor="true" view="normal" topLeftCell="A53" colorId="64" zoomScale="130" zoomScaleNormal="130" zoomScalePageLayoutView="100" workbookViewId="0">
      <selection pane="topLeft" activeCell="B65" activeCellId="0" sqref="B6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.75"/>
    <col collapsed="false" customWidth="true" hidden="false" outlineLevel="0" max="2" min="2" style="1" width="17.57"/>
    <col collapsed="false" customWidth="true" hidden="false" outlineLevel="0" max="3" min="3" style="1" width="9.79"/>
    <col collapsed="false" customWidth="true" hidden="false" outlineLevel="0" max="4" min="4" style="1" width="14.09"/>
  </cols>
  <sheetData>
    <row r="1" customFormat="false" ht="12.8" hidden="false" customHeight="false" outlineLevel="0" collapsed="false">
      <c r="A1" s="1" t="s">
        <v>107</v>
      </c>
      <c r="B1" s="1" t="s">
        <v>108</v>
      </c>
      <c r="C1" s="1" t="s">
        <v>109</v>
      </c>
      <c r="D1" s="1" t="s">
        <v>110</v>
      </c>
    </row>
    <row r="2" customFormat="false" ht="12.8" hidden="false" customHeight="false" outlineLevel="0" collapsed="false">
      <c r="A2" s="1" t="n">
        <v>1</v>
      </c>
      <c r="B2" s="1" t="s">
        <v>46</v>
      </c>
      <c r="C2" s="1" t="s">
        <v>1</v>
      </c>
      <c r="D2" s="1" t="n">
        <v>100850</v>
      </c>
    </row>
    <row r="3" customFormat="false" ht="12.8" hidden="false" customHeight="false" outlineLevel="0" collapsed="false">
      <c r="A3" s="1" t="n">
        <v>2</v>
      </c>
      <c r="B3" s="1" t="s">
        <v>36</v>
      </c>
      <c r="C3" s="1" t="s">
        <v>13</v>
      </c>
      <c r="D3" s="1" t="n">
        <v>82950</v>
      </c>
    </row>
    <row r="4" customFormat="false" ht="12.8" hidden="false" customHeight="false" outlineLevel="0" collapsed="false">
      <c r="A4" s="1" t="n">
        <v>3</v>
      </c>
      <c r="B4" s="1" t="s">
        <v>24</v>
      </c>
      <c r="C4" s="1" t="s">
        <v>2</v>
      </c>
      <c r="D4" s="1" t="n">
        <v>77500</v>
      </c>
    </row>
    <row r="5" customFormat="false" ht="12.8" hidden="false" customHeight="false" outlineLevel="0" collapsed="false">
      <c r="A5" s="1" t="n">
        <v>4</v>
      </c>
      <c r="B5" s="1" t="s">
        <v>11</v>
      </c>
      <c r="C5" s="1" t="s">
        <v>1</v>
      </c>
      <c r="D5" s="1" t="n">
        <v>72250</v>
      </c>
    </row>
    <row r="6" customFormat="false" ht="12.8" hidden="false" customHeight="false" outlineLevel="0" collapsed="false">
      <c r="A6" s="1" t="n">
        <v>5</v>
      </c>
      <c r="B6" s="1" t="s">
        <v>37</v>
      </c>
      <c r="C6" s="1" t="s">
        <v>13</v>
      </c>
      <c r="D6" s="1" t="n">
        <v>65800</v>
      </c>
    </row>
    <row r="7" customFormat="false" ht="12.8" hidden="false" customHeight="false" outlineLevel="0" collapsed="false">
      <c r="A7" s="1" t="n">
        <v>6</v>
      </c>
      <c r="B7" s="1" t="s">
        <v>18</v>
      </c>
      <c r="C7" s="1" t="s">
        <v>2</v>
      </c>
      <c r="D7" s="1" t="n">
        <v>65250</v>
      </c>
    </row>
    <row r="8" customFormat="false" ht="12.8" hidden="false" customHeight="false" outlineLevel="0" collapsed="false">
      <c r="A8" s="1" t="n">
        <v>7</v>
      </c>
      <c r="B8" s="1" t="s">
        <v>38</v>
      </c>
      <c r="C8" s="1" t="s">
        <v>39</v>
      </c>
      <c r="D8" s="1" t="n">
        <v>63450</v>
      </c>
    </row>
    <row r="9" customFormat="false" ht="12.8" hidden="false" customHeight="false" outlineLevel="0" collapsed="false">
      <c r="A9" s="1" t="n">
        <v>8</v>
      </c>
      <c r="B9" s="1" t="s">
        <v>12</v>
      </c>
      <c r="C9" s="1" t="s">
        <v>13</v>
      </c>
      <c r="D9" s="1" t="n">
        <v>63300</v>
      </c>
    </row>
    <row r="10" customFormat="false" ht="12.8" hidden="false" customHeight="false" outlineLevel="0" collapsed="false">
      <c r="A10" s="1" t="n">
        <v>9</v>
      </c>
      <c r="B10" s="1" t="s">
        <v>17</v>
      </c>
      <c r="C10" s="1" t="s">
        <v>2</v>
      </c>
      <c r="D10" s="1" t="n">
        <v>62250</v>
      </c>
    </row>
    <row r="11" customFormat="false" ht="12.8" hidden="false" customHeight="false" outlineLevel="0" collapsed="false">
      <c r="A11" s="1" t="n">
        <v>10</v>
      </c>
      <c r="B11" s="2" t="s">
        <v>53</v>
      </c>
      <c r="C11" s="1" t="s">
        <v>2</v>
      </c>
      <c r="D11" s="1" t="n">
        <v>60750</v>
      </c>
    </row>
    <row r="12" customFormat="false" ht="12.8" hidden="false" customHeight="false" outlineLevel="0" collapsed="false">
      <c r="A12" s="1" t="n">
        <v>11</v>
      </c>
      <c r="B12" s="1" t="s">
        <v>27</v>
      </c>
      <c r="C12" s="1" t="s">
        <v>2</v>
      </c>
      <c r="D12" s="1" t="n">
        <v>60400</v>
      </c>
    </row>
    <row r="13" customFormat="false" ht="12.8" hidden="false" customHeight="false" outlineLevel="0" collapsed="false">
      <c r="A13" s="1" t="n">
        <v>12</v>
      </c>
      <c r="B13" s="1" t="s">
        <v>57</v>
      </c>
      <c r="C13" s="1" t="s">
        <v>1</v>
      </c>
      <c r="D13" s="1" t="n">
        <v>58700</v>
      </c>
    </row>
    <row r="14" customFormat="false" ht="12.8" hidden="false" customHeight="false" outlineLevel="0" collapsed="false">
      <c r="A14" s="1" t="n">
        <v>13</v>
      </c>
      <c r="B14" s="1" t="s">
        <v>45</v>
      </c>
      <c r="C14" s="1" t="s">
        <v>13</v>
      </c>
      <c r="D14" s="1" t="n">
        <v>57450</v>
      </c>
    </row>
    <row r="15" customFormat="false" ht="12.8" hidden="false" customHeight="false" outlineLevel="0" collapsed="false">
      <c r="A15" s="1" t="n">
        <v>14</v>
      </c>
      <c r="B15" s="1" t="s">
        <v>42</v>
      </c>
      <c r="C15" s="1" t="s">
        <v>2</v>
      </c>
      <c r="D15" s="1" t="n">
        <v>54700</v>
      </c>
    </row>
    <row r="16" customFormat="false" ht="12.8" hidden="false" customHeight="false" outlineLevel="0" collapsed="false">
      <c r="A16" s="1" t="n">
        <v>15</v>
      </c>
      <c r="B16" s="1" t="s">
        <v>81</v>
      </c>
      <c r="C16" s="1" t="s">
        <v>1</v>
      </c>
      <c r="D16" s="1" t="n">
        <v>54450</v>
      </c>
    </row>
    <row r="17" customFormat="false" ht="12.8" hidden="false" customHeight="false" outlineLevel="0" collapsed="false">
      <c r="A17" s="1" t="n">
        <v>16</v>
      </c>
      <c r="B17" s="1" t="s">
        <v>23</v>
      </c>
      <c r="C17" s="1" t="s">
        <v>2</v>
      </c>
      <c r="D17" s="1" t="n">
        <v>54350</v>
      </c>
    </row>
    <row r="18" customFormat="false" ht="12.8" hidden="false" customHeight="false" outlineLevel="0" collapsed="false">
      <c r="A18" s="1" t="n">
        <v>17</v>
      </c>
      <c r="B18" s="1" t="s">
        <v>26</v>
      </c>
      <c r="C18" s="1" t="s">
        <v>1</v>
      </c>
      <c r="D18" s="1" t="n">
        <v>53800</v>
      </c>
    </row>
    <row r="19" customFormat="false" ht="12.8" hidden="false" customHeight="false" outlineLevel="0" collapsed="false">
      <c r="A19" s="1" t="n">
        <v>18</v>
      </c>
      <c r="B19" s="1" t="s">
        <v>15</v>
      </c>
      <c r="C19" s="1" t="s">
        <v>2</v>
      </c>
      <c r="D19" s="1" t="n">
        <v>53300</v>
      </c>
    </row>
    <row r="20" customFormat="false" ht="12.8" hidden="false" customHeight="false" outlineLevel="0" collapsed="false">
      <c r="A20" s="1" t="n">
        <v>19</v>
      </c>
      <c r="B20" s="1" t="s">
        <v>19</v>
      </c>
      <c r="C20" s="1" t="s">
        <v>13</v>
      </c>
      <c r="D20" s="1" t="n">
        <v>53000</v>
      </c>
    </row>
    <row r="21" customFormat="false" ht="12.8" hidden="false" customHeight="false" outlineLevel="0" collapsed="false">
      <c r="A21" s="1" t="n">
        <v>20</v>
      </c>
      <c r="B21" s="1" t="s">
        <v>89</v>
      </c>
      <c r="C21" s="1" t="s">
        <v>2</v>
      </c>
      <c r="D21" s="1" t="n">
        <v>51700</v>
      </c>
    </row>
    <row r="22" customFormat="false" ht="12.8" hidden="false" customHeight="false" outlineLevel="0" collapsed="false">
      <c r="A22" s="1" t="n">
        <v>21</v>
      </c>
      <c r="B22" s="1" t="s">
        <v>29</v>
      </c>
      <c r="C22" s="1" t="s">
        <v>2</v>
      </c>
      <c r="D22" s="1" t="n">
        <v>51050</v>
      </c>
    </row>
    <row r="23" customFormat="false" ht="12.8" hidden="false" customHeight="false" outlineLevel="0" collapsed="false">
      <c r="A23" s="1" t="n">
        <v>22</v>
      </c>
      <c r="B23" s="1" t="s">
        <v>82</v>
      </c>
      <c r="C23" s="1" t="s">
        <v>100</v>
      </c>
      <c r="D23" s="1" t="n">
        <v>50700</v>
      </c>
    </row>
    <row r="24" customFormat="false" ht="12.8" hidden="false" customHeight="false" outlineLevel="0" collapsed="false">
      <c r="A24" s="1" t="n">
        <v>23</v>
      </c>
      <c r="B24" s="1" t="s">
        <v>79</v>
      </c>
      <c r="C24" s="1" t="s">
        <v>1</v>
      </c>
      <c r="D24" s="1" t="n">
        <v>49500</v>
      </c>
    </row>
    <row r="25" customFormat="false" ht="12.8" hidden="false" customHeight="false" outlineLevel="0" collapsed="false">
      <c r="A25" s="1" t="n">
        <v>24</v>
      </c>
      <c r="B25" s="1" t="s">
        <v>56</v>
      </c>
      <c r="C25" s="1" t="s">
        <v>13</v>
      </c>
      <c r="D25" s="1" t="n">
        <v>49200</v>
      </c>
    </row>
    <row r="26" customFormat="false" ht="12.8" hidden="false" customHeight="false" outlineLevel="0" collapsed="false">
      <c r="A26" s="1" t="n">
        <v>25</v>
      </c>
      <c r="B26" s="1" t="s">
        <v>74</v>
      </c>
      <c r="C26" s="1" t="s">
        <v>1</v>
      </c>
      <c r="D26" s="1" t="n">
        <v>49100</v>
      </c>
    </row>
    <row r="27" customFormat="false" ht="12.8" hidden="false" customHeight="false" outlineLevel="0" collapsed="false">
      <c r="A27" s="1" t="n">
        <v>26</v>
      </c>
      <c r="B27" s="1" t="s">
        <v>49</v>
      </c>
      <c r="C27" s="1" t="s">
        <v>2</v>
      </c>
      <c r="D27" s="1" t="n">
        <v>48400</v>
      </c>
    </row>
    <row r="28" customFormat="false" ht="12.8" hidden="false" customHeight="false" outlineLevel="0" collapsed="false">
      <c r="A28" s="1" t="n">
        <v>27</v>
      </c>
      <c r="B28" s="1" t="s">
        <v>35</v>
      </c>
      <c r="C28" s="1" t="s">
        <v>13</v>
      </c>
      <c r="D28" s="1" t="n">
        <v>48400</v>
      </c>
    </row>
    <row r="29" customFormat="false" ht="12.8" hidden="false" customHeight="false" outlineLevel="0" collapsed="false">
      <c r="A29" s="1" t="n">
        <v>28</v>
      </c>
      <c r="B29" s="1" t="s">
        <v>21</v>
      </c>
      <c r="C29" s="1" t="s">
        <v>2</v>
      </c>
      <c r="D29" s="1" t="n">
        <v>48150</v>
      </c>
    </row>
    <row r="30" customFormat="false" ht="12.8" hidden="false" customHeight="false" outlineLevel="0" collapsed="false">
      <c r="A30" s="1" t="n">
        <v>29</v>
      </c>
      <c r="B30" s="1" t="s">
        <v>34</v>
      </c>
      <c r="C30" s="1" t="s">
        <v>2</v>
      </c>
      <c r="D30" s="1" t="n">
        <v>48000</v>
      </c>
    </row>
    <row r="31" customFormat="false" ht="12.8" hidden="false" customHeight="false" outlineLevel="0" collapsed="false">
      <c r="A31" s="1" t="n">
        <v>30</v>
      </c>
      <c r="B31" s="1" t="s">
        <v>64</v>
      </c>
      <c r="C31" s="1" t="s">
        <v>2</v>
      </c>
      <c r="D31" s="1" t="n">
        <v>47550</v>
      </c>
    </row>
    <row r="32" customFormat="false" ht="12.8" hidden="false" customHeight="false" outlineLevel="0" collapsed="false">
      <c r="A32" s="1" t="n">
        <v>31</v>
      </c>
      <c r="B32" s="1" t="s">
        <v>30</v>
      </c>
      <c r="C32" s="1" t="s">
        <v>2</v>
      </c>
      <c r="D32" s="1" t="n">
        <v>47400</v>
      </c>
    </row>
    <row r="33" customFormat="false" ht="12.8" hidden="false" customHeight="false" outlineLevel="0" collapsed="false">
      <c r="A33" s="1" t="n">
        <v>32</v>
      </c>
      <c r="B33" s="1" t="s">
        <v>50</v>
      </c>
      <c r="C33" s="1" t="s">
        <v>2</v>
      </c>
      <c r="D33" s="1" t="n">
        <v>47350</v>
      </c>
    </row>
    <row r="34" customFormat="false" ht="12.8" hidden="false" customHeight="false" outlineLevel="0" collapsed="false">
      <c r="A34" s="1" t="n">
        <v>33</v>
      </c>
      <c r="B34" s="1" t="s">
        <v>20</v>
      </c>
      <c r="C34" s="1" t="s">
        <v>2</v>
      </c>
      <c r="D34" s="1" t="n">
        <v>47300</v>
      </c>
    </row>
    <row r="35" customFormat="false" ht="12.8" hidden="false" customHeight="false" outlineLevel="0" collapsed="false">
      <c r="A35" s="1" t="n">
        <v>34</v>
      </c>
      <c r="B35" s="1" t="s">
        <v>54</v>
      </c>
      <c r="C35" s="1" t="s">
        <v>1</v>
      </c>
      <c r="D35" s="1" t="n">
        <v>47200</v>
      </c>
    </row>
    <row r="36" customFormat="false" ht="12.8" hidden="false" customHeight="false" outlineLevel="0" collapsed="false">
      <c r="A36" s="1" t="n">
        <v>35</v>
      </c>
      <c r="B36" s="1" t="s">
        <v>51</v>
      </c>
      <c r="C36" s="1" t="s">
        <v>2</v>
      </c>
      <c r="D36" s="1" t="n">
        <v>46950</v>
      </c>
    </row>
    <row r="37" customFormat="false" ht="12.8" hidden="false" customHeight="false" outlineLevel="0" collapsed="false">
      <c r="A37" s="1" t="n">
        <v>36</v>
      </c>
      <c r="B37" s="1" t="s">
        <v>16</v>
      </c>
      <c r="C37" s="1" t="s">
        <v>13</v>
      </c>
      <c r="D37" s="1" t="n">
        <v>46250</v>
      </c>
    </row>
    <row r="38" customFormat="false" ht="12.8" hidden="false" customHeight="false" outlineLevel="0" collapsed="false">
      <c r="A38" s="1" t="n">
        <v>37</v>
      </c>
      <c r="B38" s="1" t="s">
        <v>70</v>
      </c>
      <c r="C38" s="1" t="s">
        <v>1</v>
      </c>
      <c r="D38" s="1" t="n">
        <v>46150</v>
      </c>
    </row>
    <row r="39" customFormat="false" ht="12.8" hidden="false" customHeight="false" outlineLevel="0" collapsed="false">
      <c r="A39" s="1" t="n">
        <v>38</v>
      </c>
      <c r="B39" s="1" t="s">
        <v>25</v>
      </c>
      <c r="C39" s="1" t="s">
        <v>2</v>
      </c>
      <c r="D39" s="1" t="n">
        <v>46050</v>
      </c>
    </row>
    <row r="40" customFormat="false" ht="12.8" hidden="false" customHeight="false" outlineLevel="0" collapsed="false">
      <c r="A40" s="1" t="n">
        <v>39</v>
      </c>
      <c r="B40" s="1" t="s">
        <v>83</v>
      </c>
      <c r="C40" s="1" t="s">
        <v>2</v>
      </c>
      <c r="D40" s="1" t="n">
        <v>46000</v>
      </c>
    </row>
    <row r="41" customFormat="false" ht="12.8" hidden="false" customHeight="false" outlineLevel="0" collapsed="false">
      <c r="A41" s="1" t="n">
        <v>40</v>
      </c>
      <c r="B41" s="1" t="s">
        <v>80</v>
      </c>
      <c r="C41" s="1" t="s">
        <v>2</v>
      </c>
      <c r="D41" s="1" t="n">
        <v>46000</v>
      </c>
    </row>
    <row r="42" customFormat="false" ht="12.8" hidden="false" customHeight="false" outlineLevel="0" collapsed="false">
      <c r="A42" s="1" t="n">
        <v>41</v>
      </c>
      <c r="B42" s="1" t="s">
        <v>28</v>
      </c>
      <c r="C42" s="1" t="s">
        <v>2</v>
      </c>
      <c r="D42" s="1" t="n">
        <v>45900</v>
      </c>
    </row>
    <row r="43" customFormat="false" ht="12.8" hidden="false" customHeight="false" outlineLevel="0" collapsed="false">
      <c r="A43" s="1" t="n">
        <v>42</v>
      </c>
      <c r="B43" s="1" t="s">
        <v>63</v>
      </c>
      <c r="C43" s="1" t="s">
        <v>13</v>
      </c>
      <c r="D43" s="1" t="n">
        <v>45800</v>
      </c>
    </row>
    <row r="44" customFormat="false" ht="12.8" hidden="false" customHeight="false" outlineLevel="0" collapsed="false">
      <c r="A44" s="1" t="n">
        <v>43</v>
      </c>
      <c r="B44" s="1" t="s">
        <v>33</v>
      </c>
      <c r="C44" s="1" t="s">
        <v>2</v>
      </c>
      <c r="D44" s="1" t="n">
        <v>45550</v>
      </c>
    </row>
    <row r="45" customFormat="false" ht="12.8" hidden="false" customHeight="false" outlineLevel="0" collapsed="false">
      <c r="A45" s="1" t="n">
        <v>44</v>
      </c>
      <c r="B45" s="1" t="s">
        <v>44</v>
      </c>
      <c r="C45" s="1" t="s">
        <v>2</v>
      </c>
      <c r="D45" s="1" t="n">
        <v>45350</v>
      </c>
    </row>
    <row r="46" customFormat="false" ht="12.8" hidden="false" customHeight="false" outlineLevel="0" collapsed="false">
      <c r="A46" s="1" t="n">
        <v>45</v>
      </c>
      <c r="B46" s="4" t="s">
        <v>84</v>
      </c>
      <c r="C46" s="1" t="s">
        <v>1</v>
      </c>
      <c r="D46" s="1" t="n">
        <v>45200</v>
      </c>
    </row>
    <row r="47" customFormat="false" ht="12.8" hidden="false" customHeight="false" outlineLevel="0" collapsed="false">
      <c r="A47" s="1" t="n">
        <v>46</v>
      </c>
      <c r="B47" s="1" t="s">
        <v>76</v>
      </c>
      <c r="C47" s="1" t="s">
        <v>1</v>
      </c>
      <c r="D47" s="1" t="n">
        <v>44950</v>
      </c>
    </row>
    <row r="48" customFormat="false" ht="12.8" hidden="false" customHeight="false" outlineLevel="0" collapsed="false">
      <c r="A48" s="1" t="n">
        <v>47</v>
      </c>
      <c r="B48" s="1" t="s">
        <v>68</v>
      </c>
      <c r="C48" s="1" t="s">
        <v>1</v>
      </c>
      <c r="D48" s="1" t="n">
        <v>44900</v>
      </c>
    </row>
    <row r="49" customFormat="false" ht="12.8" hidden="false" customHeight="false" outlineLevel="0" collapsed="false">
      <c r="A49" s="1" t="n">
        <v>48</v>
      </c>
      <c r="B49" s="1" t="s">
        <v>14</v>
      </c>
      <c r="C49" s="1" t="s">
        <v>2</v>
      </c>
      <c r="D49" s="1" t="n">
        <v>44650</v>
      </c>
    </row>
    <row r="50" customFormat="false" ht="12.8" hidden="false" customHeight="false" outlineLevel="0" collapsed="false">
      <c r="A50" s="1" t="n">
        <v>49</v>
      </c>
      <c r="B50" s="1" t="s">
        <v>67</v>
      </c>
      <c r="C50" s="1" t="s">
        <v>2</v>
      </c>
      <c r="D50" s="1" t="n">
        <v>44600</v>
      </c>
    </row>
    <row r="51" customFormat="false" ht="12.8" hidden="false" customHeight="false" outlineLevel="0" collapsed="false">
      <c r="A51" s="1" t="n">
        <v>50</v>
      </c>
      <c r="B51" s="1" t="s">
        <v>78</v>
      </c>
      <c r="C51" s="1" t="s">
        <v>2</v>
      </c>
      <c r="D51" s="1" t="n">
        <v>44550</v>
      </c>
    </row>
    <row r="52" customFormat="false" ht="12.8" hidden="false" customHeight="false" outlineLevel="0" collapsed="false">
      <c r="A52" s="1" t="n">
        <v>51</v>
      </c>
      <c r="B52" s="1" t="s">
        <v>55</v>
      </c>
      <c r="C52" s="1" t="s">
        <v>2</v>
      </c>
      <c r="D52" s="1" t="n">
        <v>44200</v>
      </c>
    </row>
    <row r="53" customFormat="false" ht="12.8" hidden="false" customHeight="false" outlineLevel="0" collapsed="false">
      <c r="A53" s="1" t="n">
        <v>52</v>
      </c>
      <c r="B53" s="1" t="s">
        <v>43</v>
      </c>
      <c r="C53" s="1" t="s">
        <v>2</v>
      </c>
      <c r="D53" s="1" t="n">
        <v>43900</v>
      </c>
    </row>
    <row r="54" customFormat="false" ht="12.8" hidden="false" customHeight="false" outlineLevel="0" collapsed="false">
      <c r="A54" s="1" t="n">
        <v>53</v>
      </c>
      <c r="B54" s="1" t="s">
        <v>52</v>
      </c>
      <c r="C54" s="1" t="s">
        <v>2</v>
      </c>
      <c r="D54" s="1" t="n">
        <v>43700</v>
      </c>
    </row>
    <row r="55" customFormat="false" ht="12.8" hidden="false" customHeight="false" outlineLevel="0" collapsed="false">
      <c r="A55" s="1" t="n">
        <v>54</v>
      </c>
      <c r="B55" s="1" t="s">
        <v>93</v>
      </c>
      <c r="C55" s="1" t="s">
        <v>1</v>
      </c>
      <c r="D55" s="1" t="n">
        <v>43650</v>
      </c>
    </row>
    <row r="56" customFormat="false" ht="12.8" hidden="false" customHeight="false" outlineLevel="0" collapsed="false">
      <c r="A56" s="1" t="n">
        <v>55</v>
      </c>
      <c r="B56" s="1" t="s">
        <v>91</v>
      </c>
      <c r="C56" s="1" t="s">
        <v>1</v>
      </c>
      <c r="D56" s="1" t="n">
        <v>43250</v>
      </c>
    </row>
    <row r="57" customFormat="false" ht="12.8" hidden="false" customHeight="false" outlineLevel="0" collapsed="false">
      <c r="A57" s="1" t="n">
        <v>56</v>
      </c>
      <c r="B57" s="1" t="s">
        <v>98</v>
      </c>
      <c r="C57" s="1" t="s">
        <v>2</v>
      </c>
      <c r="D57" s="1" t="n">
        <v>43100</v>
      </c>
    </row>
    <row r="58" customFormat="false" ht="12.8" hidden="false" customHeight="false" outlineLevel="0" collapsed="false">
      <c r="A58" s="1" t="n">
        <v>57</v>
      </c>
      <c r="B58" s="1" t="s">
        <v>71</v>
      </c>
      <c r="C58" s="1" t="s">
        <v>2</v>
      </c>
      <c r="D58" s="1" t="n">
        <v>43000</v>
      </c>
    </row>
    <row r="59" customFormat="false" ht="12.8" hidden="false" customHeight="false" outlineLevel="0" collapsed="false">
      <c r="A59" s="1" t="n">
        <v>58</v>
      </c>
      <c r="B59" s="1" t="s">
        <v>73</v>
      </c>
      <c r="C59" s="1" t="s">
        <v>2</v>
      </c>
      <c r="D59" s="1" t="n">
        <v>42850</v>
      </c>
    </row>
    <row r="60" customFormat="false" ht="12.8" hidden="false" customHeight="false" outlineLevel="0" collapsed="false">
      <c r="A60" s="1" t="n">
        <v>59</v>
      </c>
      <c r="B60" s="1" t="s">
        <v>59</v>
      </c>
      <c r="C60" s="1" t="s">
        <v>1</v>
      </c>
      <c r="D60" s="1" t="n">
        <v>42650</v>
      </c>
    </row>
    <row r="61" customFormat="false" ht="12.8" hidden="false" customHeight="false" outlineLevel="0" collapsed="false">
      <c r="A61" s="1" t="n">
        <v>60</v>
      </c>
      <c r="B61" s="3" t="s">
        <v>40</v>
      </c>
      <c r="C61" s="1" t="s">
        <v>1</v>
      </c>
      <c r="D61" s="1" t="n">
        <v>41900</v>
      </c>
    </row>
    <row r="62" customFormat="false" ht="12.8" hidden="false" customHeight="false" outlineLevel="0" collapsed="false">
      <c r="A62" s="1" t="n">
        <v>61</v>
      </c>
      <c r="B62" s="1" t="s">
        <v>86</v>
      </c>
      <c r="C62" s="1" t="s">
        <v>1</v>
      </c>
      <c r="D62" s="1" t="n">
        <v>41750</v>
      </c>
    </row>
    <row r="63" customFormat="false" ht="12.8" hidden="false" customHeight="false" outlineLevel="0" collapsed="false">
      <c r="A63" s="1" t="n">
        <v>62</v>
      </c>
      <c r="B63" s="1" t="s">
        <v>60</v>
      </c>
      <c r="C63" s="1" t="s">
        <v>2</v>
      </c>
      <c r="D63" s="1" t="n">
        <v>41700</v>
      </c>
    </row>
    <row r="64" customFormat="false" ht="12.8" hidden="false" customHeight="false" outlineLevel="0" collapsed="false">
      <c r="A64" s="1" t="n">
        <v>63</v>
      </c>
      <c r="B64" s="1" t="s">
        <v>22</v>
      </c>
      <c r="C64" s="1" t="s">
        <v>2</v>
      </c>
      <c r="D64" s="1" t="n">
        <v>41550</v>
      </c>
    </row>
    <row r="65" customFormat="false" ht="12.8" hidden="false" customHeight="false" outlineLevel="0" collapsed="false">
      <c r="A65" s="1" t="n">
        <v>64</v>
      </c>
      <c r="B65" s="2" t="s">
        <v>105</v>
      </c>
      <c r="C65" s="1" t="s">
        <v>1</v>
      </c>
      <c r="D65" s="1" t="n">
        <v>41150</v>
      </c>
    </row>
    <row r="66" customFormat="false" ht="12.8" hidden="false" customHeight="false" outlineLevel="0" collapsed="false">
      <c r="A66" s="1" t="n">
        <v>65</v>
      </c>
      <c r="B66" s="1" t="s">
        <v>97</v>
      </c>
      <c r="C66" s="1" t="s">
        <v>2</v>
      </c>
      <c r="D66" s="1" t="n">
        <v>40950</v>
      </c>
    </row>
    <row r="67" customFormat="false" ht="12.8" hidden="false" customHeight="false" outlineLevel="0" collapsed="false">
      <c r="A67" s="1" t="n">
        <v>66</v>
      </c>
      <c r="B67" s="1" t="s">
        <v>66</v>
      </c>
      <c r="C67" s="1" t="s">
        <v>1</v>
      </c>
      <c r="D67" s="1" t="n">
        <v>40600</v>
      </c>
    </row>
    <row r="68" customFormat="false" ht="12.8" hidden="false" customHeight="false" outlineLevel="0" collapsed="false">
      <c r="A68" s="1" t="n">
        <v>67</v>
      </c>
      <c r="B68" s="1" t="s">
        <v>31</v>
      </c>
      <c r="C68" s="1" t="s">
        <v>2</v>
      </c>
      <c r="D68" s="1" t="n">
        <v>40300</v>
      </c>
    </row>
    <row r="69" customFormat="false" ht="12.8" hidden="false" customHeight="false" outlineLevel="0" collapsed="false">
      <c r="A69" s="1" t="n">
        <v>68</v>
      </c>
      <c r="B69" s="1" t="s">
        <v>96</v>
      </c>
      <c r="C69" s="1" t="s">
        <v>1</v>
      </c>
      <c r="D69" s="1" t="n">
        <v>40050</v>
      </c>
    </row>
    <row r="70" customFormat="false" ht="12.8" hidden="false" customHeight="false" outlineLevel="0" collapsed="false">
      <c r="A70" s="1" t="n">
        <v>69</v>
      </c>
      <c r="B70" s="1" t="s">
        <v>94</v>
      </c>
      <c r="C70" s="1" t="s">
        <v>2</v>
      </c>
      <c r="D70" s="1" t="n">
        <v>39900</v>
      </c>
    </row>
    <row r="71" customFormat="false" ht="12.8" hidden="false" customHeight="false" outlineLevel="0" collapsed="false">
      <c r="A71" s="1" t="n">
        <v>70</v>
      </c>
      <c r="B71" s="1" t="s">
        <v>77</v>
      </c>
      <c r="C71" s="1" t="s">
        <v>2</v>
      </c>
      <c r="D71" s="1" t="n">
        <v>39700</v>
      </c>
    </row>
    <row r="72" customFormat="false" ht="12.8" hidden="false" customHeight="false" outlineLevel="0" collapsed="false">
      <c r="A72" s="1" t="n">
        <v>71</v>
      </c>
      <c r="B72" s="1" t="s">
        <v>95</v>
      </c>
      <c r="C72" s="1" t="s">
        <v>2</v>
      </c>
      <c r="D72" s="1" t="n">
        <v>39600</v>
      </c>
    </row>
    <row r="73" customFormat="false" ht="12.8" hidden="false" customHeight="false" outlineLevel="0" collapsed="false">
      <c r="A73" s="1" t="n">
        <v>72</v>
      </c>
      <c r="B73" s="1" t="s">
        <v>85</v>
      </c>
      <c r="C73" s="1" t="s">
        <v>1</v>
      </c>
      <c r="D73" s="1" t="n">
        <v>38900</v>
      </c>
    </row>
    <row r="74" customFormat="false" ht="12.8" hidden="false" customHeight="false" outlineLevel="0" collapsed="false">
      <c r="A74" s="1" t="n">
        <v>73</v>
      </c>
      <c r="B74" s="1" t="s">
        <v>62</v>
      </c>
      <c r="C74" s="1" t="s">
        <v>1</v>
      </c>
      <c r="D74" s="1" t="n">
        <v>38700</v>
      </c>
    </row>
    <row r="75" customFormat="false" ht="12.8" hidden="false" customHeight="false" outlineLevel="0" collapsed="false">
      <c r="A75" s="1" t="n">
        <v>74</v>
      </c>
      <c r="B75" s="1" t="s">
        <v>32</v>
      </c>
      <c r="C75" s="1" t="s">
        <v>2</v>
      </c>
      <c r="D75" s="1" t="n">
        <v>38500</v>
      </c>
    </row>
    <row r="76" customFormat="false" ht="12.8" hidden="false" customHeight="false" outlineLevel="0" collapsed="false">
      <c r="A76" s="1" t="n">
        <v>75</v>
      </c>
      <c r="B76" s="1" t="s">
        <v>87</v>
      </c>
      <c r="C76" s="1" t="s">
        <v>1</v>
      </c>
      <c r="D76" s="1" t="n">
        <v>37950</v>
      </c>
    </row>
    <row r="77" customFormat="false" ht="12.8" hidden="false" customHeight="false" outlineLevel="0" collapsed="false">
      <c r="A77" s="1" t="n">
        <v>76</v>
      </c>
      <c r="B77" s="1" t="s">
        <v>47</v>
      </c>
      <c r="C77" s="1" t="s">
        <v>13</v>
      </c>
      <c r="D77" s="1" t="n">
        <v>37250</v>
      </c>
    </row>
    <row r="78" customFormat="false" ht="12.8" hidden="false" customHeight="false" outlineLevel="0" collapsed="false">
      <c r="A78" s="1" t="n">
        <v>77</v>
      </c>
      <c r="B78" s="1" t="s">
        <v>92</v>
      </c>
      <c r="C78" s="1" t="s">
        <v>1</v>
      </c>
      <c r="D78" s="1" t="n">
        <v>34250</v>
      </c>
    </row>
    <row r="79" customFormat="false" ht="12.8" hidden="false" customHeight="false" outlineLevel="0" collapsed="false">
      <c r="A79" s="1" t="n">
        <v>78</v>
      </c>
      <c r="B79" s="1" t="s">
        <v>104</v>
      </c>
      <c r="C79" s="1" t="s">
        <v>100</v>
      </c>
      <c r="D79" s="1" t="n">
        <v>34150</v>
      </c>
    </row>
    <row r="80" customFormat="false" ht="12.8" hidden="false" customHeight="false" outlineLevel="0" collapsed="false">
      <c r="A80" s="1" t="n">
        <v>79</v>
      </c>
      <c r="B80" s="1" t="s">
        <v>69</v>
      </c>
      <c r="C80" s="1" t="s">
        <v>2</v>
      </c>
      <c r="D80" s="1" t="n">
        <v>34000</v>
      </c>
    </row>
    <row r="81" customFormat="false" ht="12.8" hidden="false" customHeight="false" outlineLevel="0" collapsed="false">
      <c r="A81" s="1" t="n">
        <v>80</v>
      </c>
      <c r="B81" s="1" t="s">
        <v>41</v>
      </c>
      <c r="C81" s="1" t="s">
        <v>2</v>
      </c>
      <c r="D81" s="1" t="n">
        <v>33800</v>
      </c>
    </row>
    <row r="82" customFormat="false" ht="12.8" hidden="false" customHeight="false" outlineLevel="0" collapsed="false">
      <c r="A82" s="1" t="n">
        <v>81</v>
      </c>
      <c r="B82" s="1" t="s">
        <v>58</v>
      </c>
      <c r="C82" s="1" t="s">
        <v>2</v>
      </c>
      <c r="D82" s="1" t="n">
        <v>33500</v>
      </c>
    </row>
    <row r="83" customFormat="false" ht="12.8" hidden="false" customHeight="false" outlineLevel="0" collapsed="false">
      <c r="A83" s="1" t="n">
        <v>82</v>
      </c>
      <c r="B83" s="1" t="s">
        <v>72</v>
      </c>
      <c r="C83" s="1" t="s">
        <v>1</v>
      </c>
      <c r="D83" s="1" t="n">
        <v>33150</v>
      </c>
    </row>
    <row r="84" customFormat="false" ht="12.8" hidden="false" customHeight="false" outlineLevel="0" collapsed="false">
      <c r="A84" s="1" t="n">
        <v>83</v>
      </c>
      <c r="B84" s="1" t="s">
        <v>102</v>
      </c>
      <c r="C84" s="1" t="s">
        <v>1</v>
      </c>
      <c r="D84" s="1" t="n">
        <v>32950</v>
      </c>
    </row>
    <row r="85" customFormat="false" ht="12.8" hidden="false" customHeight="false" outlineLevel="0" collapsed="false">
      <c r="A85" s="1" t="n">
        <v>84</v>
      </c>
      <c r="B85" s="1" t="s">
        <v>61</v>
      </c>
      <c r="C85" s="1" t="s">
        <v>2</v>
      </c>
      <c r="D85" s="1" t="n">
        <v>30500</v>
      </c>
    </row>
    <row r="86" customFormat="false" ht="12.8" hidden="false" customHeight="false" outlineLevel="0" collapsed="false">
      <c r="A86" s="1" t="n">
        <v>85</v>
      </c>
      <c r="B86" s="1" t="s">
        <v>75</v>
      </c>
      <c r="C86" s="1" t="s">
        <v>1</v>
      </c>
      <c r="D86" s="1" t="n">
        <v>30450</v>
      </c>
    </row>
    <row r="87" customFormat="false" ht="12.8" hidden="false" customHeight="false" outlineLevel="0" collapsed="false">
      <c r="A87" s="1" t="n">
        <v>86</v>
      </c>
      <c r="B87" s="1" t="s">
        <v>103</v>
      </c>
      <c r="C87" s="1" t="s">
        <v>100</v>
      </c>
      <c r="D87" s="1" t="n">
        <v>29050</v>
      </c>
    </row>
    <row r="88" customFormat="false" ht="12.8" hidden="false" customHeight="false" outlineLevel="0" collapsed="false">
      <c r="A88" s="1" t="n">
        <v>87</v>
      </c>
      <c r="B88" s="1" t="s">
        <v>65</v>
      </c>
      <c r="C88" s="1" t="s">
        <v>2</v>
      </c>
      <c r="D88" s="1" t="n">
        <v>27250</v>
      </c>
    </row>
    <row r="89" customFormat="false" ht="12.8" hidden="false" customHeight="false" outlineLevel="0" collapsed="false">
      <c r="A89" s="1" t="n">
        <v>88</v>
      </c>
      <c r="B89" s="1" t="s">
        <v>99</v>
      </c>
      <c r="C89" s="1" t="s">
        <v>100</v>
      </c>
      <c r="D89" s="1" t="n">
        <v>25250</v>
      </c>
    </row>
    <row r="90" customFormat="false" ht="12.8" hidden="false" customHeight="false" outlineLevel="0" collapsed="false">
      <c r="A90" s="1" t="n">
        <v>89</v>
      </c>
      <c r="B90" s="1" t="s">
        <v>88</v>
      </c>
      <c r="C90" s="1" t="s">
        <v>1</v>
      </c>
      <c r="D90" s="1" t="n">
        <v>24800</v>
      </c>
    </row>
    <row r="91" customFormat="false" ht="12.8" hidden="false" customHeight="false" outlineLevel="0" collapsed="false">
      <c r="A91" s="1" t="n">
        <v>90</v>
      </c>
      <c r="B91" s="1" t="s">
        <v>101</v>
      </c>
      <c r="C91" s="1" t="s">
        <v>1</v>
      </c>
      <c r="D91" s="1" t="n">
        <v>19950</v>
      </c>
    </row>
    <row r="92" customFormat="false" ht="12.8" hidden="false" customHeight="false" outlineLevel="0" collapsed="false">
      <c r="A92" s="1" t="n">
        <v>91</v>
      </c>
      <c r="B92" s="1" t="s">
        <v>90</v>
      </c>
      <c r="C92" s="1" t="s">
        <v>1</v>
      </c>
      <c r="D92" s="1" t="n">
        <v>15400</v>
      </c>
    </row>
    <row r="93" customFormat="false" ht="12.8" hidden="false" customHeight="false" outlineLevel="0" collapsed="false">
      <c r="A93" s="1" t="n">
        <v>92</v>
      </c>
      <c r="B93" s="1" t="s">
        <v>111</v>
      </c>
      <c r="C93" s="1" t="s">
        <v>100</v>
      </c>
      <c r="D93" s="1" t="n">
        <v>0</v>
      </c>
    </row>
    <row r="94" customFormat="false" ht="12.8" hidden="false" customHeight="false" outlineLevel="0" collapsed="false">
      <c r="A94" s="1" t="n">
        <v>93</v>
      </c>
      <c r="B94" s="1" t="s">
        <v>106</v>
      </c>
      <c r="C94" s="1" t="s">
        <v>100</v>
      </c>
      <c r="D94" s="1" t="n">
        <v>0</v>
      </c>
    </row>
    <row r="95" customFormat="false" ht="12.8" hidden="false" customHeight="false" outlineLevel="0" collapsed="false"/>
    <row r="96" customFormat="false" ht="12.8" hidden="false" customHeight="false" outlineLevel="0" collapsed="false"/>
    <row r="97" customFormat="false" ht="12.8" hidden="false" customHeight="false" outlineLevel="0" collapsed="false"/>
    <row r="98" customFormat="false" ht="12.8" hidden="false" customHeight="false" outlineLevel="0" collapsed="false"/>
  </sheetData>
  <autoFilter ref="A1:D99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2026-03-01T03:40:01Z</dcterms:created>
  <dc:creator/>
  <dc:description/>
  <dc:language>de-AT</dc:language>
  <cp:lastModifiedBy/>
  <dcterms:modified xsi:type="dcterms:W3CDTF">2026-03-29T19:09:18Z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