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spender" sheetId="1" state="visible" r:id="rId3"/>
  </sheets>
  <definedNames>
    <definedName function="false" hidden="true" localSheetId="0" name="_xlnm._FilterDatabase" vbProcedure="false">techspender!$F$1:$L$96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<sst xmlns="http://schemas.openxmlformats.org/spreadsheetml/2006/main" count="490" uniqueCount="113">
  <si>
    <t xml:space="preserve">Rang</t>
  </si>
  <si>
    <t xml:space="preserve">Name</t>
  </si>
  <si>
    <t xml:space="preserve">Rangstufe</t>
  </si>
  <si>
    <t xml:space="preserve">Punkte</t>
  </si>
  <si>
    <t xml:space="preserve">rank</t>
  </si>
  <si>
    <t xml:space="preserve">name</t>
  </si>
  <si>
    <t xml:space="preserve">alliance</t>
  </si>
  <si>
    <t xml:space="preserve">points</t>
  </si>
  <si>
    <t xml:space="preserve">alt</t>
  </si>
  <si>
    <t xml:space="preserve">neu</t>
  </si>
  <si>
    <t xml:space="preserve">change</t>
  </si>
  <si>
    <t xml:space="preserve">haasenpeter rex</t>
  </si>
  <si>
    <t xml:space="preserve">R3</t>
  </si>
  <si>
    <t xml:space="preserve">Kvothekg</t>
  </si>
  <si>
    <t xml:space="preserve">AZOZ</t>
  </si>
  <si>
    <t xml:space="preserve">sunny75</t>
  </si>
  <si>
    <t xml:space="preserve">Fran171526</t>
  </si>
  <si>
    <t xml:space="preserve">Aenwe</t>
  </si>
  <si>
    <t xml:space="preserve">SNEAKY BUNNY</t>
  </si>
  <si>
    <t xml:space="preserve">Feivel D MauS</t>
  </si>
  <si>
    <t xml:space="preserve">R4</t>
  </si>
  <si>
    <t xml:space="preserve">Skywölkchen</t>
  </si>
  <si>
    <t xml:space="preserve">Crossf4d3</t>
  </si>
  <si>
    <t xml:space="preserve">Kampfratze</t>
  </si>
  <si>
    <t xml:space="preserve">VanEricson</t>
  </si>
  <si>
    <t xml:space="preserve">R2</t>
  </si>
  <si>
    <t xml:space="preserve">JSheridan</t>
  </si>
  <si>
    <t xml:space="preserve">Haulsen</t>
  </si>
  <si>
    <t xml:space="preserve">Kotor47</t>
  </si>
  <si>
    <t xml:space="preserve">DragonWiz</t>
  </si>
  <si>
    <t xml:space="preserve">Giorgiotown</t>
  </si>
  <si>
    <t xml:space="preserve">abo loona963</t>
  </si>
  <si>
    <t xml:space="preserve">R1</t>
  </si>
  <si>
    <t xml:space="preserve">Fürst der Nazgûl</t>
  </si>
  <si>
    <t xml:space="preserve">SNPOL</t>
  </si>
  <si>
    <t xml:space="preserve">Li La LiNus</t>
  </si>
  <si>
    <t xml:space="preserve">Peridakles</t>
  </si>
  <si>
    <t xml:space="preserve">MacRoM</t>
  </si>
  <si>
    <t xml:space="preserve">jobcenter FFM</t>
  </si>
  <si>
    <t xml:space="preserve">Jacob Carter</t>
  </si>
  <si>
    <t xml:space="preserve">1Łukasz1</t>
  </si>
  <si>
    <t xml:space="preserve">joaocosta11</t>
  </si>
  <si>
    <t xml:space="preserve">Tom12234455</t>
  </si>
  <si>
    <t xml:space="preserve">Tyskie 66</t>
  </si>
  <si>
    <t xml:space="preserve">Dr Cal Lightman</t>
  </si>
  <si>
    <t xml:space="preserve">Azuuzz</t>
  </si>
  <si>
    <t xml:space="preserve">R5</t>
  </si>
  <si>
    <t xml:space="preserve">EXITUS</t>
  </si>
  <si>
    <t xml:space="preserve">DaliborDaki</t>
  </si>
  <si>
    <t xml:space="preserve">LUCIFER</t>
  </si>
  <si>
    <t xml:space="preserve">Amir Yakuza</t>
  </si>
  <si>
    <t xml:space="preserve">Irongrim</t>
  </si>
  <si>
    <t xml:space="preserve">CalziferFire</t>
  </si>
  <si>
    <t xml:space="preserve">SmartesGirl</t>
  </si>
  <si>
    <t xml:space="preserve">Hubi2025</t>
  </si>
  <si>
    <t xml:space="preserve">عاشم</t>
  </si>
  <si>
    <t xml:space="preserve">Queen from AZO</t>
  </si>
  <si>
    <t xml:space="preserve">bjian</t>
  </si>
  <si>
    <t xml:space="preserve">Dejweed</t>
  </si>
  <si>
    <t xml:space="preserve">feimel</t>
  </si>
  <si>
    <t xml:space="preserve">Kytrider</t>
  </si>
  <si>
    <t xml:space="preserve">FATUUM</t>
  </si>
  <si>
    <t xml:space="preserve">Xamberon</t>
  </si>
  <si>
    <t xml:space="preserve">Dragon blou</t>
  </si>
  <si>
    <t xml:space="preserve">DiamonS</t>
  </si>
  <si>
    <t xml:space="preserve">Pinsel20</t>
  </si>
  <si>
    <t xml:space="preserve">Katerina77</t>
  </si>
  <si>
    <t xml:space="preserve">Fürstin von Knolle</t>
  </si>
  <si>
    <t xml:space="preserve">Himbeertony</t>
  </si>
  <si>
    <t xml:space="preserve">fffeyz</t>
  </si>
  <si>
    <t xml:space="preserve">GaaGol</t>
  </si>
  <si>
    <t xml:space="preserve">Last Arti</t>
  </si>
  <si>
    <t xml:space="preserve">metauchopf</t>
  </si>
  <si>
    <t xml:space="preserve">Marshalfery</t>
  </si>
  <si>
    <t xml:space="preserve">El Profesor 92</t>
  </si>
  <si>
    <t xml:space="preserve">Sphere8472</t>
  </si>
  <si>
    <t xml:space="preserve">LatastrophenUlli</t>
  </si>
  <si>
    <t xml:space="preserve">Lady Emm</t>
  </si>
  <si>
    <t xml:space="preserve">Bestia77</t>
  </si>
  <si>
    <t xml:space="preserve">DooYooDoo</t>
  </si>
  <si>
    <t xml:space="preserve">The Pharo 2026</t>
  </si>
  <si>
    <t xml:space="preserve">ToxicV9</t>
  </si>
  <si>
    <t xml:space="preserve">LosChapito</t>
  </si>
  <si>
    <t xml:space="preserve">Gedl</t>
  </si>
  <si>
    <t xml:space="preserve">Mischel89</t>
  </si>
  <si>
    <t xml:space="preserve">XxGranatxX</t>
  </si>
  <si>
    <t xml:space="preserve">Li La LiNuS</t>
  </si>
  <si>
    <t xml:space="preserve">Lilly187</t>
  </si>
  <si>
    <t xml:space="preserve">K u r d o</t>
  </si>
  <si>
    <t xml:space="preserve">Z4ID</t>
  </si>
  <si>
    <t xml:space="preserve">VxClicker</t>
  </si>
  <si>
    <t xml:space="preserve">Sultan Murat X</t>
  </si>
  <si>
    <t xml:space="preserve">kawaman35</t>
  </si>
  <si>
    <t xml:space="preserve">anaeliss</t>
  </si>
  <si>
    <t xml:space="preserve">MESCALINECIRCUS</t>
  </si>
  <si>
    <t xml:space="preserve">Ali lub</t>
  </si>
  <si>
    <t xml:space="preserve">Mel Lyn</t>
  </si>
  <si>
    <t xml:space="preserve">nicodu08</t>
  </si>
  <si>
    <t xml:space="preserve">Flugente</t>
  </si>
  <si>
    <t xml:space="preserve">Saladin 1998</t>
  </si>
  <si>
    <t xml:space="preserve">AMJAD bd</t>
  </si>
  <si>
    <t xml:space="preserve">War1992rior</t>
  </si>
  <si>
    <t xml:space="preserve">Darkweed</t>
  </si>
  <si>
    <t xml:space="preserve">Pr0sent</t>
  </si>
  <si>
    <t xml:space="preserve">zImperial</t>
  </si>
  <si>
    <t xml:space="preserve">SoreAss</t>
  </si>
  <si>
    <t xml:space="preserve">Lord78</t>
  </si>
  <si>
    <t xml:space="preserve">AHMD54</t>
  </si>
  <si>
    <t xml:space="preserve">Nidhögr</t>
  </si>
  <si>
    <t xml:space="preserve">Bubu2121</t>
  </si>
  <si>
    <t xml:space="preserve">Dekubitus</t>
  </si>
  <si>
    <t xml:space="preserve">AnKaBo</t>
  </si>
  <si>
    <t xml:space="preserve">AZO OPA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</si>
</sst>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DE59"/>
        <bgColor rgb="FFFFCC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DE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80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2" activeCellId="0" sqref="G8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6.18"/>
    <col collapsed="false" customWidth="true" hidden="false" outlineLevel="0" max="3" min="3" style="0" width="9.78"/>
    <col collapsed="false" customWidth="true" hidden="false" outlineLevel="0" max="4" min="4" style="0" width="7.27"/>
    <col collapsed="false" customWidth="true" hidden="false" outlineLevel="0" max="6" min="6" style="0" width="5.05"/>
    <col collapsed="false" customWidth="true" hidden="false" outlineLevel="0" max="7" min="7" style="0" width="16.18"/>
    <col collapsed="false" customWidth="true" hidden="false" outlineLevel="0" max="8" min="8" style="0" width="7.69"/>
    <col collapsed="false" customWidth="true" hidden="false" outlineLevel="0" max="9" min="9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2.8" hidden="true" customHeight="false" outlineLevel="0" collapsed="false">
      <c r="A2" s="0" t="n">
        <v>1</v>
      </c>
      <c r="B2" s="0" t="s">
        <v>11</v>
      </c>
      <c r="C2" s="0" t="s">
        <v>12</v>
      </c>
      <c r="D2" s="0" t="n">
        <v>70450</v>
      </c>
      <c r="F2" s="0" t="n">
        <v>1</v>
      </c>
      <c r="G2" s="2" t="s">
        <v>13</v>
      </c>
      <c r="H2" s="2" t="s">
        <v>14</v>
      </c>
      <c r="I2" s="2" t="n">
        <v>124406145</v>
      </c>
      <c r="J2" s="2" t="str">
        <f aca="false">VLOOKUP(G2,$B$2:$D$96,2,0)</f>
        <v>R3</v>
      </c>
      <c r="K2" s="2" t="s">
        <v>12</v>
      </c>
      <c r="L2" s="0" t="str">
        <f aca="false">IF(J2&lt;&gt;K2,"Y","N")</f>
        <v>N</v>
      </c>
    </row>
    <row r="3" customFormat="false" ht="12.8" hidden="true" customHeight="false" outlineLevel="0" collapsed="false">
      <c r="A3" s="0" t="n">
        <v>2</v>
      </c>
      <c r="B3" s="0" t="s">
        <v>15</v>
      </c>
      <c r="C3" s="0" t="s">
        <v>12</v>
      </c>
      <c r="D3" s="0" t="n">
        <v>66650</v>
      </c>
      <c r="F3" s="0" t="n">
        <v>2</v>
      </c>
      <c r="G3" s="2" t="s">
        <v>16</v>
      </c>
      <c r="H3" s="2" t="s">
        <v>14</v>
      </c>
      <c r="I3" s="2" t="n">
        <v>110723640</v>
      </c>
      <c r="J3" s="2" t="str">
        <f aca="false">VLOOKUP(G3,$B$2:$D$96,2,0)</f>
        <v>R3</v>
      </c>
      <c r="K3" s="2" t="s">
        <v>12</v>
      </c>
      <c r="L3" s="0" t="str">
        <f aca="false">IF(J3&lt;&gt;K3,"Y","N")</f>
        <v>N</v>
      </c>
    </row>
    <row r="4" customFormat="false" ht="12.8" hidden="true" customHeight="false" outlineLevel="0" collapsed="false">
      <c r="A4" s="0" t="n">
        <v>3</v>
      </c>
      <c r="B4" s="0" t="s">
        <v>17</v>
      </c>
      <c r="C4" s="0" t="s">
        <v>12</v>
      </c>
      <c r="D4" s="0" t="n">
        <v>59400</v>
      </c>
      <c r="F4" s="0" t="n">
        <v>3</v>
      </c>
      <c r="G4" s="2" t="s">
        <v>18</v>
      </c>
      <c r="H4" s="2" t="s">
        <v>14</v>
      </c>
      <c r="I4" s="2" t="n">
        <v>106763750</v>
      </c>
      <c r="J4" s="2" t="str">
        <f aca="false">VLOOKUP(G4,$B$2:$D$96,2,0)</f>
        <v>R3</v>
      </c>
      <c r="K4" s="2" t="s">
        <v>12</v>
      </c>
      <c r="L4" s="0" t="str">
        <f aca="false">IF(J4&lt;&gt;K4,"Y","N")</f>
        <v>N</v>
      </c>
    </row>
    <row r="5" customFormat="false" ht="12.8" hidden="true" customHeight="false" outlineLevel="0" collapsed="false">
      <c r="A5" s="0" t="n">
        <v>4</v>
      </c>
      <c r="B5" s="0" t="s">
        <v>13</v>
      </c>
      <c r="C5" s="0" t="s">
        <v>12</v>
      </c>
      <c r="D5" s="0" t="n">
        <v>56950</v>
      </c>
      <c r="F5" s="0" t="n">
        <v>4</v>
      </c>
      <c r="G5" s="2" t="s">
        <v>19</v>
      </c>
      <c r="H5" s="2" t="s">
        <v>14</v>
      </c>
      <c r="I5" s="2" t="n">
        <v>105598409</v>
      </c>
      <c r="J5" s="2" t="str">
        <f aca="false">VLOOKUP(G5,$B$2:$D$96,2,0)</f>
        <v>R4</v>
      </c>
      <c r="K5" s="2" t="s">
        <v>20</v>
      </c>
      <c r="L5" s="0" t="str">
        <f aca="false">IF(J5&lt;&gt;K5,"Y","N")</f>
        <v>N</v>
      </c>
    </row>
    <row r="6" customFormat="false" ht="12.8" hidden="true" customHeight="false" outlineLevel="0" collapsed="false">
      <c r="A6" s="0" t="n">
        <v>5</v>
      </c>
      <c r="B6" s="0" t="s">
        <v>21</v>
      </c>
      <c r="C6" s="0" t="s">
        <v>20</v>
      </c>
      <c r="D6" s="0" t="n">
        <v>56000</v>
      </c>
      <c r="F6" s="0" t="n">
        <v>5</v>
      </c>
      <c r="G6" s="2" t="s">
        <v>11</v>
      </c>
      <c r="H6" s="2" t="s">
        <v>14</v>
      </c>
      <c r="I6" s="2" t="n">
        <v>97394728</v>
      </c>
      <c r="J6" s="2" t="str">
        <f aca="false">VLOOKUP(G6,$B$2:$D$96,2,0)</f>
        <v>R3</v>
      </c>
      <c r="K6" s="2" t="s">
        <v>12</v>
      </c>
      <c r="L6" s="0" t="str">
        <f aca="false">IF(J6&lt;&gt;K6,"Y","N")</f>
        <v>N</v>
      </c>
    </row>
    <row r="7" customFormat="false" ht="12.8" hidden="true" customHeight="false" outlineLevel="0" collapsed="false">
      <c r="A7" s="0" t="n">
        <v>6</v>
      </c>
      <c r="B7" s="0" t="s">
        <v>22</v>
      </c>
      <c r="C7" s="0" t="s">
        <v>12</v>
      </c>
      <c r="D7" s="0" t="n">
        <v>55500</v>
      </c>
      <c r="F7" s="0" t="n">
        <v>6</v>
      </c>
      <c r="G7" s="2" t="s">
        <v>23</v>
      </c>
      <c r="H7" s="2" t="s">
        <v>14</v>
      </c>
      <c r="I7" s="2" t="n">
        <v>91142142</v>
      </c>
      <c r="J7" s="2" t="str">
        <f aca="false">VLOOKUP(G7,$B$2:$D$96,2,0)</f>
        <v>R4</v>
      </c>
      <c r="K7" s="2" t="s">
        <v>20</v>
      </c>
      <c r="L7" s="0" t="str">
        <f aca="false">IF(J7&lt;&gt;K7,"Y","N")</f>
        <v>N</v>
      </c>
    </row>
    <row r="8" customFormat="false" ht="12.8" hidden="true" customHeight="false" outlineLevel="0" collapsed="false">
      <c r="A8" s="0" t="n">
        <v>7</v>
      </c>
      <c r="B8" s="0" t="s">
        <v>24</v>
      </c>
      <c r="C8" s="0" t="s">
        <v>25</v>
      </c>
      <c r="D8" s="0" t="n">
        <v>54850</v>
      </c>
      <c r="F8" s="0" t="n">
        <v>7</v>
      </c>
      <c r="G8" s="2" t="s">
        <v>26</v>
      </c>
      <c r="H8" s="2" t="s">
        <v>14</v>
      </c>
      <c r="I8" s="2" t="n">
        <v>87970023</v>
      </c>
      <c r="J8" s="2" t="str">
        <f aca="false">VLOOKUP(G8,$B$2:$D$96,2,0)</f>
        <v>R4</v>
      </c>
      <c r="K8" s="2" t="s">
        <v>20</v>
      </c>
      <c r="L8" s="0" t="str">
        <f aca="false">IF(J8&lt;&gt;K8,"Y","N")</f>
        <v>N</v>
      </c>
    </row>
    <row r="9" customFormat="false" ht="12.8" hidden="true" customHeight="false" outlineLevel="0" collapsed="false">
      <c r="A9" s="0" t="n">
        <v>8</v>
      </c>
      <c r="B9" s="0" t="s">
        <v>27</v>
      </c>
      <c r="C9" s="0" t="s">
        <v>12</v>
      </c>
      <c r="D9" s="0" t="n">
        <v>54200</v>
      </c>
      <c r="F9" s="0" t="n">
        <v>8</v>
      </c>
      <c r="G9" s="2" t="s">
        <v>28</v>
      </c>
      <c r="H9" s="2" t="s">
        <v>14</v>
      </c>
      <c r="I9" s="2" t="n">
        <v>81061737</v>
      </c>
      <c r="J9" s="2" t="str">
        <f aca="false">VLOOKUP(G9,$B$2:$D$96,2,0)</f>
        <v>R3</v>
      </c>
      <c r="K9" s="2" t="s">
        <v>12</v>
      </c>
      <c r="L9" s="0" t="str">
        <f aca="false">IF(J9&lt;&gt;K9,"Y","N")</f>
        <v>N</v>
      </c>
    </row>
    <row r="10" customFormat="false" ht="12.8" hidden="true" customHeight="false" outlineLevel="0" collapsed="false">
      <c r="A10" s="0" t="n">
        <v>9</v>
      </c>
      <c r="B10" s="0" t="s">
        <v>29</v>
      </c>
      <c r="C10" s="0" t="s">
        <v>12</v>
      </c>
      <c r="D10" s="0" t="n">
        <v>52400</v>
      </c>
      <c r="F10" s="0" t="n">
        <v>9</v>
      </c>
      <c r="G10" s="2" t="s">
        <v>30</v>
      </c>
      <c r="H10" s="2" t="s">
        <v>14</v>
      </c>
      <c r="I10" s="2" t="n">
        <v>80241525</v>
      </c>
      <c r="J10" s="2" t="str">
        <f aca="false">VLOOKUP(G10,$B$2:$D$96,2,0)</f>
        <v>R3</v>
      </c>
      <c r="K10" s="2" t="s">
        <v>12</v>
      </c>
      <c r="L10" s="0" t="str">
        <f aca="false">IF(J10&lt;&gt;K10,"Y","N")</f>
        <v>N</v>
      </c>
    </row>
    <row r="11" customFormat="false" ht="12.8" hidden="true" customHeight="false" outlineLevel="0" collapsed="false">
      <c r="A11" s="0" t="n">
        <v>10</v>
      </c>
      <c r="B11" s="0" t="s">
        <v>31</v>
      </c>
      <c r="C11" s="0" t="s">
        <v>32</v>
      </c>
      <c r="D11" s="0" t="n">
        <v>51900</v>
      </c>
      <c r="F11" s="0" t="n">
        <v>10</v>
      </c>
      <c r="G11" s="2" t="s">
        <v>33</v>
      </c>
      <c r="H11" s="2" t="s">
        <v>14</v>
      </c>
      <c r="I11" s="2" t="n">
        <v>77203882</v>
      </c>
      <c r="J11" s="2" t="str">
        <f aca="false">VLOOKUP(G11,$B$2:$D$96,2,0)</f>
        <v>R4</v>
      </c>
      <c r="K11" s="2" t="s">
        <v>20</v>
      </c>
      <c r="L11" s="0" t="str">
        <f aca="false">IF(J11&lt;&gt;K11,"Y","N")</f>
        <v>N</v>
      </c>
    </row>
    <row r="12" customFormat="false" ht="12.8" hidden="true" customHeight="false" outlineLevel="0" collapsed="false">
      <c r="A12" s="0" t="n">
        <v>11</v>
      </c>
      <c r="B12" s="0" t="s">
        <v>34</v>
      </c>
      <c r="C12" s="0" t="s">
        <v>25</v>
      </c>
      <c r="D12" s="0" t="n">
        <v>49400</v>
      </c>
      <c r="F12" s="0" t="n">
        <v>11</v>
      </c>
      <c r="G12" s="2" t="s">
        <v>35</v>
      </c>
      <c r="H12" s="2" t="s">
        <v>14</v>
      </c>
      <c r="I12" s="2" t="n">
        <v>76331177</v>
      </c>
      <c r="J12" s="2" t="str">
        <f aca="false">VLOOKUP(G12,$B$2:$D$96,2,0)</f>
        <v>R3</v>
      </c>
      <c r="K12" s="2" t="s">
        <v>12</v>
      </c>
      <c r="L12" s="0" t="str">
        <f aca="false">IF(J12&lt;&gt;K12,"Y","N")</f>
        <v>N</v>
      </c>
    </row>
    <row r="13" customFormat="false" ht="12.8" hidden="true" customHeight="false" outlineLevel="0" collapsed="false">
      <c r="A13" s="0" t="n">
        <v>12</v>
      </c>
      <c r="B13" s="0" t="s">
        <v>16</v>
      </c>
      <c r="C13" s="0" t="s">
        <v>12</v>
      </c>
      <c r="D13" s="0" t="n">
        <v>47600</v>
      </c>
      <c r="F13" s="0" t="n">
        <v>12</v>
      </c>
      <c r="G13" s="2" t="s">
        <v>27</v>
      </c>
      <c r="H13" s="2" t="s">
        <v>14</v>
      </c>
      <c r="I13" s="2" t="n">
        <v>75474951</v>
      </c>
      <c r="J13" s="2" t="str">
        <f aca="false">VLOOKUP(G13,$B$2:$D$96,2,0)</f>
        <v>R3</v>
      </c>
      <c r="K13" s="2" t="s">
        <v>12</v>
      </c>
      <c r="L13" s="0" t="str">
        <f aca="false">IF(J13&lt;&gt;K13,"Y","N")</f>
        <v>N</v>
      </c>
    </row>
    <row r="14" customFormat="false" ht="12.8" hidden="true" customHeight="false" outlineLevel="0" collapsed="false">
      <c r="A14" s="0" t="n">
        <v>13</v>
      </c>
      <c r="B14" s="0" t="s">
        <v>28</v>
      </c>
      <c r="C14" s="0" t="s">
        <v>12</v>
      </c>
      <c r="D14" s="0" t="n">
        <v>47500</v>
      </c>
      <c r="F14" s="0" t="n">
        <v>13</v>
      </c>
      <c r="G14" s="2" t="s">
        <v>36</v>
      </c>
      <c r="H14" s="2" t="s">
        <v>14</v>
      </c>
      <c r="I14" s="2" t="n">
        <v>73454650</v>
      </c>
      <c r="J14" s="2" t="str">
        <f aca="false">VLOOKUP(G14,$B$2:$D$96,2,0)</f>
        <v>R3</v>
      </c>
      <c r="K14" s="2" t="s">
        <v>12</v>
      </c>
      <c r="L14" s="0" t="str">
        <f aca="false">IF(J14&lt;&gt;K14,"Y","N")</f>
        <v>N</v>
      </c>
    </row>
    <row r="15" customFormat="false" ht="12.8" hidden="true" customHeight="false" outlineLevel="0" collapsed="false">
      <c r="A15" s="0" t="n">
        <v>14</v>
      </c>
      <c r="B15" s="0" t="s">
        <v>26</v>
      </c>
      <c r="C15" s="0" t="s">
        <v>20</v>
      </c>
      <c r="D15" s="0" t="n">
        <v>46050</v>
      </c>
      <c r="F15" s="0" t="n">
        <v>14</v>
      </c>
      <c r="G15" s="2" t="s">
        <v>21</v>
      </c>
      <c r="H15" s="2" t="s">
        <v>14</v>
      </c>
      <c r="I15" s="2" t="n">
        <v>72171393</v>
      </c>
      <c r="J15" s="2" t="str">
        <f aca="false">VLOOKUP(G15,$B$2:$D$96,2,0)</f>
        <v>R4</v>
      </c>
      <c r="K15" s="2" t="s">
        <v>20</v>
      </c>
      <c r="L15" s="0" t="str">
        <f aca="false">IF(J15&lt;&gt;K15,"Y","N")</f>
        <v>N</v>
      </c>
    </row>
    <row r="16" customFormat="false" ht="12.8" hidden="true" customHeight="false" outlineLevel="0" collapsed="false">
      <c r="A16" s="0" t="n">
        <v>15</v>
      </c>
      <c r="B16" s="0" t="s">
        <v>37</v>
      </c>
      <c r="C16" s="0" t="s">
        <v>12</v>
      </c>
      <c r="D16" s="0" t="n">
        <v>45950</v>
      </c>
      <c r="F16" s="0" t="n">
        <v>15</v>
      </c>
      <c r="G16" s="2" t="s">
        <v>37</v>
      </c>
      <c r="H16" s="2" t="s">
        <v>14</v>
      </c>
      <c r="I16" s="2" t="n">
        <v>71080446</v>
      </c>
      <c r="J16" s="2" t="str">
        <f aca="false">VLOOKUP(G16,$B$2:$D$96,2,0)</f>
        <v>R3</v>
      </c>
      <c r="K16" s="2" t="s">
        <v>12</v>
      </c>
      <c r="L16" s="0" t="str">
        <f aca="false">IF(J16&lt;&gt;K16,"Y","N")</f>
        <v>N</v>
      </c>
    </row>
    <row r="17" customFormat="false" ht="12.8" hidden="true" customHeight="false" outlineLevel="0" collapsed="false">
      <c r="A17" s="0" t="n">
        <v>16</v>
      </c>
      <c r="B17" s="0" t="s">
        <v>38</v>
      </c>
      <c r="C17" s="0" t="s">
        <v>12</v>
      </c>
      <c r="D17" s="0" t="n">
        <v>45900</v>
      </c>
      <c r="F17" s="0" t="n">
        <v>16</v>
      </c>
      <c r="G17" s="2" t="s">
        <v>39</v>
      </c>
      <c r="H17" s="2" t="s">
        <v>14</v>
      </c>
      <c r="I17" s="2" t="n">
        <v>70849774</v>
      </c>
      <c r="J17" s="2" t="str">
        <f aca="false">VLOOKUP(G17,$B$2:$D$96,2,0)</f>
        <v>R3</v>
      </c>
      <c r="K17" s="2" t="s">
        <v>12</v>
      </c>
      <c r="L17" s="0" t="str">
        <f aca="false">IF(J17&lt;&gt;K17,"Y","N")</f>
        <v>N</v>
      </c>
    </row>
    <row r="18" customFormat="false" ht="12.8" hidden="true" customHeight="false" outlineLevel="0" collapsed="false">
      <c r="A18" s="0" t="n">
        <v>17</v>
      </c>
      <c r="B18" s="0" t="s">
        <v>40</v>
      </c>
      <c r="C18" s="0" t="s">
        <v>25</v>
      </c>
      <c r="D18" s="0" t="n">
        <v>45450</v>
      </c>
      <c r="F18" s="0" t="n">
        <v>17</v>
      </c>
      <c r="G18" s="2" t="s">
        <v>22</v>
      </c>
      <c r="H18" s="2" t="s">
        <v>14</v>
      </c>
      <c r="I18" s="2" t="n">
        <v>67532163</v>
      </c>
      <c r="J18" s="2" t="str">
        <f aca="false">VLOOKUP(G18,$B$2:$D$96,2,0)</f>
        <v>R3</v>
      </c>
      <c r="K18" s="2" t="s">
        <v>12</v>
      </c>
      <c r="L18" s="0" t="str">
        <f aca="false">IF(J18&lt;&gt;K18,"Y","N")</f>
        <v>N</v>
      </c>
    </row>
    <row r="19" customFormat="false" ht="12.8" hidden="false" customHeight="false" outlineLevel="0" collapsed="false">
      <c r="A19" s="0" t="n">
        <v>18</v>
      </c>
      <c r="B19" s="0" t="s">
        <v>33</v>
      </c>
      <c r="C19" s="0" t="s">
        <v>20</v>
      </c>
      <c r="D19" s="0" t="n">
        <v>45150</v>
      </c>
      <c r="F19" s="0" t="n">
        <v>18</v>
      </c>
      <c r="G19" s="2" t="s">
        <v>41</v>
      </c>
      <c r="H19" s="2" t="s">
        <v>14</v>
      </c>
      <c r="I19" s="2" t="n">
        <v>66705682</v>
      </c>
      <c r="J19" s="2" t="str">
        <f aca="false">VLOOKUP(G19,$B$2:$D$96,2,0)</f>
        <v>R2</v>
      </c>
      <c r="K19" s="2" t="s">
        <v>12</v>
      </c>
      <c r="L19" s="0" t="str">
        <f aca="false">IF(J19&lt;&gt;K19,"Y","N")</f>
        <v>Y</v>
      </c>
    </row>
    <row r="20" customFormat="false" ht="12.8" hidden="false" customHeight="false" outlineLevel="0" collapsed="false">
      <c r="A20" s="0" t="n">
        <v>19</v>
      </c>
      <c r="B20" s="0" t="s">
        <v>42</v>
      </c>
      <c r="C20" s="0" t="s">
        <v>12</v>
      </c>
      <c r="D20" s="0" t="n">
        <v>44900</v>
      </c>
      <c r="F20" s="0" t="n">
        <v>19</v>
      </c>
      <c r="G20" s="2" t="s">
        <v>43</v>
      </c>
      <c r="H20" s="2" t="s">
        <v>14</v>
      </c>
      <c r="I20" s="2" t="n">
        <v>65248539</v>
      </c>
      <c r="J20" s="2" t="str">
        <f aca="false">VLOOKUP(G20,$B$2:$D$96,2,0)</f>
        <v>R2</v>
      </c>
      <c r="K20" s="2" t="s">
        <v>12</v>
      </c>
      <c r="L20" s="0" t="str">
        <f aca="false">IF(J20&lt;&gt;K20,"Y","N")</f>
        <v>Y</v>
      </c>
    </row>
    <row r="21" customFormat="false" ht="12.8" hidden="true" customHeight="false" outlineLevel="0" collapsed="false">
      <c r="A21" s="0" t="n">
        <v>20</v>
      </c>
      <c r="B21" s="0" t="s">
        <v>44</v>
      </c>
      <c r="C21" s="0" t="s">
        <v>12</v>
      </c>
      <c r="D21" s="0" t="n">
        <v>44900</v>
      </c>
      <c r="F21" s="0" t="n">
        <v>20</v>
      </c>
      <c r="G21" s="2" t="s">
        <v>45</v>
      </c>
      <c r="H21" s="2" t="s">
        <v>14</v>
      </c>
      <c r="I21" s="2" t="n">
        <v>61081452</v>
      </c>
      <c r="J21" s="2" t="str">
        <f aca="false">VLOOKUP(G21,$B$2:$D$96,2,0)</f>
        <v>R5</v>
      </c>
      <c r="K21" s="2" t="s">
        <v>46</v>
      </c>
      <c r="L21" s="0" t="str">
        <f aca="false">IF(J21&lt;&gt;K21,"Y","N")</f>
        <v>N</v>
      </c>
    </row>
    <row r="22" customFormat="false" ht="12.8" hidden="true" customHeight="false" outlineLevel="0" collapsed="false">
      <c r="A22" s="0" t="n">
        <v>21</v>
      </c>
      <c r="B22" s="0" t="s">
        <v>47</v>
      </c>
      <c r="C22" s="0" t="s">
        <v>12</v>
      </c>
      <c r="D22" s="0" t="n">
        <v>44850</v>
      </c>
      <c r="F22" s="0" t="n">
        <v>21</v>
      </c>
      <c r="G22" s="2" t="s">
        <v>48</v>
      </c>
      <c r="H22" s="2" t="s">
        <v>14</v>
      </c>
      <c r="I22" s="2" t="n">
        <v>57796119</v>
      </c>
      <c r="J22" s="2" t="str">
        <f aca="false">VLOOKUP(G22,$B$2:$D$96,2,0)</f>
        <v>R3</v>
      </c>
      <c r="K22" s="2" t="s">
        <v>12</v>
      </c>
      <c r="L22" s="0" t="str">
        <f aca="false">IF(J22&lt;&gt;K22,"Y","N")</f>
        <v>N</v>
      </c>
    </row>
    <row r="23" customFormat="false" ht="12.8" hidden="true" customHeight="false" outlineLevel="0" collapsed="false">
      <c r="A23" s="0" t="n">
        <v>22</v>
      </c>
      <c r="B23" s="0" t="s">
        <v>49</v>
      </c>
      <c r="C23" s="0" t="s">
        <v>12</v>
      </c>
      <c r="D23" s="0" t="n">
        <v>44750</v>
      </c>
      <c r="F23" s="0" t="n">
        <v>22</v>
      </c>
      <c r="G23" s="2" t="s">
        <v>50</v>
      </c>
      <c r="H23" s="2" t="s">
        <v>14</v>
      </c>
      <c r="I23" s="2" t="n">
        <v>57236404</v>
      </c>
      <c r="J23" s="2" t="str">
        <f aca="false">VLOOKUP(G23,$B$2:$D$96,2,0)</f>
        <v>R3</v>
      </c>
      <c r="K23" s="2" t="s">
        <v>12</v>
      </c>
      <c r="L23" s="0" t="str">
        <f aca="false">IF(J23&lt;&gt;K23,"Y","N")</f>
        <v>N</v>
      </c>
    </row>
    <row r="24" customFormat="false" ht="12.8" hidden="true" customHeight="false" outlineLevel="0" collapsed="false">
      <c r="A24" s="0" t="n">
        <v>23</v>
      </c>
      <c r="B24" s="0" t="s">
        <v>51</v>
      </c>
      <c r="C24" s="0" t="s">
        <v>12</v>
      </c>
      <c r="D24" s="0" t="n">
        <v>44650</v>
      </c>
      <c r="F24" s="0" t="n">
        <v>23</v>
      </c>
      <c r="G24" s="2" t="s">
        <v>52</v>
      </c>
      <c r="H24" s="2" t="s">
        <v>14</v>
      </c>
      <c r="I24" s="2" t="n">
        <v>56393994</v>
      </c>
      <c r="J24" s="2" t="str">
        <f aca="false">VLOOKUP(G24,$B$2:$D$96,2,0)</f>
        <v>R3</v>
      </c>
      <c r="K24" s="2" t="s">
        <v>12</v>
      </c>
      <c r="L24" s="0" t="str">
        <f aca="false">IF(J24&lt;&gt;K24,"Y","N")</f>
        <v>N</v>
      </c>
    </row>
    <row r="25" customFormat="false" ht="12.8" hidden="true" customHeight="false" outlineLevel="0" collapsed="false">
      <c r="A25" s="0" t="n">
        <v>24</v>
      </c>
      <c r="B25" s="0" t="s">
        <v>45</v>
      </c>
      <c r="C25" s="0" t="s">
        <v>46</v>
      </c>
      <c r="D25" s="0" t="n">
        <v>44600</v>
      </c>
      <c r="F25" s="0" t="n">
        <v>24</v>
      </c>
      <c r="G25" s="2" t="s">
        <v>53</v>
      </c>
      <c r="H25" s="2" t="s">
        <v>14</v>
      </c>
      <c r="I25" s="2" t="n">
        <v>56057111</v>
      </c>
      <c r="J25" s="2" t="str">
        <f aca="false">VLOOKUP(G25,$B$2:$D$96,2,0)</f>
        <v>R4</v>
      </c>
      <c r="K25" s="2" t="s">
        <v>20</v>
      </c>
      <c r="L25" s="0" t="str">
        <f aca="false">IF(J25&lt;&gt;K25,"Y","N")</f>
        <v>N</v>
      </c>
    </row>
    <row r="26" customFormat="false" ht="12.8" hidden="true" customHeight="false" outlineLevel="0" collapsed="false">
      <c r="A26" s="0" t="n">
        <v>25</v>
      </c>
      <c r="B26" s="0" t="s">
        <v>54</v>
      </c>
      <c r="C26" s="0" t="s">
        <v>25</v>
      </c>
      <c r="D26" s="0" t="n">
        <v>44400</v>
      </c>
      <c r="F26" s="0" t="n">
        <v>25</v>
      </c>
      <c r="G26" s="2" t="s">
        <v>49</v>
      </c>
      <c r="H26" s="2" t="s">
        <v>14</v>
      </c>
      <c r="I26" s="2" t="n">
        <v>55584719</v>
      </c>
      <c r="J26" s="2" t="str">
        <f aca="false">VLOOKUP(G26,$B$2:$D$96,2,0)</f>
        <v>R3</v>
      </c>
      <c r="K26" s="2" t="s">
        <v>12</v>
      </c>
      <c r="L26" s="0" t="str">
        <f aca="false">IF(J26&lt;&gt;K26,"Y","N")</f>
        <v>N</v>
      </c>
    </row>
    <row r="27" customFormat="false" ht="12.8" hidden="true" customHeight="false" outlineLevel="0" collapsed="false">
      <c r="A27" s="0" t="n">
        <v>26</v>
      </c>
      <c r="B27" s="0" t="s">
        <v>55</v>
      </c>
      <c r="C27" s="0" t="s">
        <v>25</v>
      </c>
      <c r="D27" s="0" t="n">
        <v>44050</v>
      </c>
      <c r="F27" s="0" t="n">
        <v>26</v>
      </c>
      <c r="G27" s="2" t="s">
        <v>56</v>
      </c>
      <c r="H27" s="2" t="s">
        <v>14</v>
      </c>
      <c r="I27" s="2" t="n">
        <v>54987119</v>
      </c>
      <c r="J27" s="2" t="str">
        <f aca="false">VLOOKUP(G27,$B$2:$D$96,2,0)</f>
        <v>R4</v>
      </c>
      <c r="K27" s="2" t="s">
        <v>20</v>
      </c>
      <c r="L27" s="0" t="str">
        <f aca="false">IF(J27&lt;&gt;K27,"Y","N")</f>
        <v>N</v>
      </c>
    </row>
    <row r="28" customFormat="false" ht="12.8" hidden="true" customHeight="false" outlineLevel="0" collapsed="false">
      <c r="A28" s="0" t="n">
        <v>27</v>
      </c>
      <c r="B28" s="0" t="s">
        <v>57</v>
      </c>
      <c r="C28" s="0" t="s">
        <v>25</v>
      </c>
      <c r="D28" s="0" t="n">
        <v>44050</v>
      </c>
      <c r="F28" s="0" t="n">
        <v>27</v>
      </c>
      <c r="G28" s="2" t="s">
        <v>58</v>
      </c>
      <c r="H28" s="2" t="s">
        <v>14</v>
      </c>
      <c r="I28" s="2" t="n">
        <v>54317757</v>
      </c>
      <c r="J28" s="2" t="str">
        <f aca="false">VLOOKUP(G28,$B$2:$D$96,2,0)</f>
        <v>R3</v>
      </c>
      <c r="K28" s="2" t="s">
        <v>12</v>
      </c>
      <c r="L28" s="0" t="str">
        <f aca="false">IF(J28&lt;&gt;K28,"Y","N")</f>
        <v>N</v>
      </c>
    </row>
    <row r="29" customFormat="false" ht="12.8" hidden="false" customHeight="false" outlineLevel="0" collapsed="false">
      <c r="A29" s="0" t="n">
        <v>28</v>
      </c>
      <c r="B29" s="0" t="s">
        <v>59</v>
      </c>
      <c r="C29" s="0" t="s">
        <v>20</v>
      </c>
      <c r="D29" s="0" t="n">
        <v>43600</v>
      </c>
      <c r="F29" s="0" t="n">
        <v>28</v>
      </c>
      <c r="G29" s="2" t="s">
        <v>34</v>
      </c>
      <c r="H29" s="2" t="s">
        <v>14</v>
      </c>
      <c r="I29" s="2" t="n">
        <v>53925251</v>
      </c>
      <c r="J29" s="2" t="str">
        <f aca="false">VLOOKUP(G29,$B$2:$D$96,2,0)</f>
        <v>R2</v>
      </c>
      <c r="K29" s="2" t="s">
        <v>12</v>
      </c>
      <c r="L29" s="0" t="str">
        <f aca="false">IF(J29&lt;&gt;K29,"Y","N")</f>
        <v>Y</v>
      </c>
    </row>
    <row r="30" customFormat="false" ht="12.8" hidden="true" customHeight="false" outlineLevel="0" collapsed="false">
      <c r="A30" s="0" t="n">
        <v>29</v>
      </c>
      <c r="B30" s="0" t="s">
        <v>56</v>
      </c>
      <c r="C30" s="0" t="s">
        <v>20</v>
      </c>
      <c r="D30" s="0" t="n">
        <v>43450</v>
      </c>
      <c r="F30" s="0" t="n">
        <v>29</v>
      </c>
      <c r="G30" s="2" t="s">
        <v>17</v>
      </c>
      <c r="H30" s="2" t="s">
        <v>14</v>
      </c>
      <c r="I30" s="2" t="n">
        <v>53844344</v>
      </c>
      <c r="J30" s="2" t="str">
        <f aca="false">VLOOKUP(G30,$B$2:$D$96,2,0)</f>
        <v>R3</v>
      </c>
      <c r="K30" s="2" t="s">
        <v>12</v>
      </c>
      <c r="L30" s="0" t="str">
        <f aca="false">IF(J30&lt;&gt;K30,"Y","N")</f>
        <v>N</v>
      </c>
    </row>
    <row r="31" customFormat="false" ht="12.8" hidden="true" customHeight="false" outlineLevel="0" collapsed="false">
      <c r="A31" s="0" t="n">
        <v>30</v>
      </c>
      <c r="B31" s="0" t="s">
        <v>53</v>
      </c>
      <c r="C31" s="0" t="s">
        <v>20</v>
      </c>
      <c r="D31" s="0" t="n">
        <v>43350</v>
      </c>
      <c r="F31" s="0" t="n">
        <v>30</v>
      </c>
      <c r="G31" s="2" t="s">
        <v>60</v>
      </c>
      <c r="H31" s="2" t="s">
        <v>14</v>
      </c>
      <c r="I31" s="2" t="n">
        <v>53607099</v>
      </c>
      <c r="J31" s="2" t="str">
        <f aca="false">VLOOKUP(G31,$B$2:$D$96,2,0)</f>
        <v>R4</v>
      </c>
      <c r="K31" s="2" t="s">
        <v>20</v>
      </c>
      <c r="L31" s="0" t="str">
        <f aca="false">IF(J31&lt;&gt;K31,"Y","N")</f>
        <v>N</v>
      </c>
    </row>
    <row r="32" customFormat="false" ht="12.8" hidden="true" customHeight="false" outlineLevel="0" collapsed="false">
      <c r="A32" s="0" t="n">
        <v>31</v>
      </c>
      <c r="B32" s="0" t="s">
        <v>61</v>
      </c>
      <c r="C32" s="0" t="s">
        <v>12</v>
      </c>
      <c r="D32" s="0" t="n">
        <v>43200</v>
      </c>
      <c r="F32" s="0" t="n">
        <v>31</v>
      </c>
      <c r="G32" s="2" t="s">
        <v>62</v>
      </c>
      <c r="H32" s="2" t="s">
        <v>14</v>
      </c>
      <c r="I32" s="2" t="n">
        <v>52422055</v>
      </c>
      <c r="J32" s="2" t="str">
        <f aca="false">VLOOKUP(G32,$B$2:$D$96,2,0)</f>
        <v>R3</v>
      </c>
      <c r="K32" s="2" t="s">
        <v>12</v>
      </c>
      <c r="L32" s="0" t="str">
        <f aca="false">IF(J32&lt;&gt;K32,"Y","N")</f>
        <v>N</v>
      </c>
    </row>
    <row r="33" customFormat="false" ht="12.8" hidden="false" customHeight="false" outlineLevel="0" collapsed="false">
      <c r="A33" s="0" t="n">
        <v>32</v>
      </c>
      <c r="B33" s="0" t="s">
        <v>63</v>
      </c>
      <c r="C33" s="0" t="s">
        <v>12</v>
      </c>
      <c r="D33" s="0" t="n">
        <v>43200</v>
      </c>
      <c r="F33" s="0" t="n">
        <v>32</v>
      </c>
      <c r="G33" s="2" t="s">
        <v>64</v>
      </c>
      <c r="H33" s="2" t="s">
        <v>14</v>
      </c>
      <c r="I33" s="2" t="n">
        <v>52119304</v>
      </c>
      <c r="J33" s="2" t="str">
        <f aca="false">VLOOKUP(G33,$B$2:$D$96,2,0)</f>
        <v>R2</v>
      </c>
      <c r="K33" s="2" t="s">
        <v>12</v>
      </c>
      <c r="L33" s="0" t="str">
        <f aca="false">IF(J33&lt;&gt;K33,"Y","N")</f>
        <v>Y</v>
      </c>
    </row>
    <row r="34" customFormat="false" ht="12.8" hidden="true" customHeight="false" outlineLevel="0" collapsed="false">
      <c r="A34" s="0" t="n">
        <v>33</v>
      </c>
      <c r="B34" s="0" t="s">
        <v>65</v>
      </c>
      <c r="C34" s="0" t="s">
        <v>12</v>
      </c>
      <c r="D34" s="0" t="n">
        <v>43150</v>
      </c>
      <c r="F34" s="0" t="n">
        <v>33</v>
      </c>
      <c r="G34" s="2" t="s">
        <v>38</v>
      </c>
      <c r="H34" s="2" t="s">
        <v>14</v>
      </c>
      <c r="I34" s="2" t="n">
        <v>51053333</v>
      </c>
      <c r="J34" s="2" t="str">
        <f aca="false">VLOOKUP(G34,$B$2:$D$96,2,0)</f>
        <v>R3</v>
      </c>
      <c r="K34" s="2" t="s">
        <v>12</v>
      </c>
      <c r="L34" s="0" t="str">
        <f aca="false">IF(J34&lt;&gt;K34,"Y","N")</f>
        <v>N</v>
      </c>
    </row>
    <row r="35" customFormat="false" ht="12.8" hidden="true" customHeight="false" outlineLevel="0" collapsed="false">
      <c r="A35" s="0" t="n">
        <v>34</v>
      </c>
      <c r="B35" s="0" t="s">
        <v>23</v>
      </c>
      <c r="C35" s="0" t="s">
        <v>20</v>
      </c>
      <c r="D35" s="0" t="n">
        <v>43050</v>
      </c>
      <c r="F35" s="0" t="n">
        <v>34</v>
      </c>
      <c r="G35" s="2" t="s">
        <v>66</v>
      </c>
      <c r="H35" s="2" t="s">
        <v>14</v>
      </c>
      <c r="I35" s="2" t="n">
        <v>50818152</v>
      </c>
      <c r="J35" s="2" t="str">
        <f aca="false">VLOOKUP(G35,$B$2:$D$96,2,0)</f>
        <v>R3</v>
      </c>
      <c r="K35" s="2" t="s">
        <v>12</v>
      </c>
      <c r="L35" s="0" t="str">
        <f aca="false">IF(J35&lt;&gt;K35,"Y","N")</f>
        <v>N</v>
      </c>
    </row>
    <row r="36" customFormat="false" ht="12.8" hidden="false" customHeight="false" outlineLevel="0" collapsed="false">
      <c r="A36" s="0" t="n">
        <v>35</v>
      </c>
      <c r="B36" s="0" t="s">
        <v>64</v>
      </c>
      <c r="C36" s="0" t="s">
        <v>25</v>
      </c>
      <c r="D36" s="0" t="n">
        <v>42950</v>
      </c>
      <c r="F36" s="0" t="n">
        <v>35</v>
      </c>
      <c r="G36" s="2" t="s">
        <v>67</v>
      </c>
      <c r="H36" s="2" t="s">
        <v>14</v>
      </c>
      <c r="I36" s="2" t="n">
        <v>49969768</v>
      </c>
      <c r="J36" s="2" t="str">
        <f aca="false">VLOOKUP(G36,$B$2:$D$96,2,0)</f>
        <v>R2</v>
      </c>
      <c r="K36" s="2" t="s">
        <v>12</v>
      </c>
      <c r="L36" s="0" t="str">
        <f aca="false">IF(J36&lt;&gt;K36,"Y","N")</f>
        <v>Y</v>
      </c>
    </row>
    <row r="37" customFormat="false" ht="12.8" hidden="true" customHeight="false" outlineLevel="0" collapsed="false">
      <c r="A37" s="0" t="n">
        <v>36</v>
      </c>
      <c r="B37" s="0" t="s">
        <v>39</v>
      </c>
      <c r="C37" s="0" t="s">
        <v>12</v>
      </c>
      <c r="D37" s="0" t="n">
        <v>42950</v>
      </c>
      <c r="F37" s="0" t="n">
        <v>36</v>
      </c>
      <c r="G37" s="2" t="s">
        <v>63</v>
      </c>
      <c r="H37" s="2" t="s">
        <v>14</v>
      </c>
      <c r="I37" s="2" t="n">
        <v>49606514</v>
      </c>
      <c r="J37" s="2" t="str">
        <f aca="false">VLOOKUP(G37,$B$2:$D$96,2,0)</f>
        <v>R3</v>
      </c>
      <c r="K37" s="2" t="s">
        <v>12</v>
      </c>
      <c r="L37" s="0" t="str">
        <f aca="false">IF(J37&lt;&gt;K37,"Y","N")</f>
        <v>N</v>
      </c>
    </row>
    <row r="38" customFormat="false" ht="12.8" hidden="true" customHeight="false" outlineLevel="0" collapsed="false">
      <c r="A38" s="0" t="n">
        <v>37</v>
      </c>
      <c r="B38" s="0" t="s">
        <v>68</v>
      </c>
      <c r="C38" s="0" t="s">
        <v>12</v>
      </c>
      <c r="D38" s="0" t="n">
        <v>42950</v>
      </c>
      <c r="F38" s="0" t="n">
        <v>37</v>
      </c>
      <c r="G38" s="2" t="s">
        <v>69</v>
      </c>
      <c r="H38" s="2" t="s">
        <v>14</v>
      </c>
      <c r="I38" s="2" t="n">
        <v>47324621</v>
      </c>
      <c r="J38" s="2" t="str">
        <f aca="false">VLOOKUP(G38,$B$2:$D$96,2,0)</f>
        <v>R3</v>
      </c>
      <c r="K38" s="2" t="s">
        <v>12</v>
      </c>
      <c r="L38" s="0" t="str">
        <f aca="false">IF(J38&lt;&gt;K38,"Y","N")</f>
        <v>N</v>
      </c>
    </row>
    <row r="39" customFormat="false" ht="12.8" hidden="true" customHeight="false" outlineLevel="0" collapsed="false">
      <c r="A39" s="0" t="n">
        <v>38</v>
      </c>
      <c r="B39" s="0" t="s">
        <v>58</v>
      </c>
      <c r="C39" s="0" t="s">
        <v>12</v>
      </c>
      <c r="D39" s="0" t="n">
        <v>42750</v>
      </c>
      <c r="F39" s="0" t="n">
        <v>38</v>
      </c>
      <c r="G39" s="2" t="s">
        <v>59</v>
      </c>
      <c r="H39" s="2" t="s">
        <v>14</v>
      </c>
      <c r="I39" s="2" t="n">
        <v>46409840</v>
      </c>
      <c r="J39" s="2" t="str">
        <f aca="false">VLOOKUP(G39,$B$2:$D$96,2,0)</f>
        <v>R4</v>
      </c>
      <c r="K39" s="2" t="s">
        <v>20</v>
      </c>
      <c r="L39" s="0" t="str">
        <f aca="false">IF(J39&lt;&gt;K39,"Y","N")</f>
        <v>N</v>
      </c>
    </row>
    <row r="40" customFormat="false" ht="12.8" hidden="true" customHeight="false" outlineLevel="0" collapsed="false">
      <c r="A40" s="0" t="n">
        <v>39</v>
      </c>
      <c r="B40" s="0" t="s">
        <v>70</v>
      </c>
      <c r="C40" s="0" t="s">
        <v>12</v>
      </c>
      <c r="D40" s="0" t="n">
        <v>42600</v>
      </c>
      <c r="F40" s="0" t="n">
        <v>39</v>
      </c>
      <c r="G40" s="2" t="s">
        <v>15</v>
      </c>
      <c r="H40" s="2" t="s">
        <v>14</v>
      </c>
      <c r="I40" s="2" t="n">
        <v>45593685</v>
      </c>
      <c r="J40" s="2" t="str">
        <f aca="false">VLOOKUP(G40,$B$2:$D$96,2,0)</f>
        <v>R3</v>
      </c>
      <c r="K40" s="2" t="s">
        <v>12</v>
      </c>
      <c r="L40" s="0" t="str">
        <f aca="false">IF(J40&lt;&gt;K40,"Y","N")</f>
        <v>N</v>
      </c>
    </row>
    <row r="41" customFormat="false" ht="12.8" hidden="false" customHeight="false" outlineLevel="0" collapsed="false">
      <c r="A41" s="0" t="n">
        <v>40</v>
      </c>
      <c r="B41" s="0" t="s">
        <v>36</v>
      </c>
      <c r="C41" s="0" t="s">
        <v>12</v>
      </c>
      <c r="D41" s="0" t="n">
        <v>42000</v>
      </c>
      <c r="F41" s="0" t="n">
        <v>40</v>
      </c>
      <c r="G41" s="2" t="s">
        <v>71</v>
      </c>
      <c r="H41" s="2" t="s">
        <v>14</v>
      </c>
      <c r="I41" s="2" t="n">
        <v>45225844</v>
      </c>
      <c r="J41" s="2" t="str">
        <f aca="false">VLOOKUP(G41,$B$2:$D$96,2,0)</f>
        <v>R2</v>
      </c>
      <c r="K41" s="2" t="s">
        <v>12</v>
      </c>
      <c r="L41" s="0" t="str">
        <f aca="false">IF(J41&lt;&gt;K41,"Y","N")</f>
        <v>Y</v>
      </c>
    </row>
    <row r="42" customFormat="false" ht="12.8" hidden="true" customHeight="false" outlineLevel="0" collapsed="false">
      <c r="A42" s="0" t="n">
        <v>41</v>
      </c>
      <c r="B42" s="0" t="s">
        <v>72</v>
      </c>
      <c r="C42" s="0" t="s">
        <v>25</v>
      </c>
      <c r="D42" s="0" t="n">
        <v>41950</v>
      </c>
      <c r="F42" s="0" t="n">
        <v>41</v>
      </c>
      <c r="G42" s="2" t="s">
        <v>47</v>
      </c>
      <c r="H42" s="2" t="s">
        <v>14</v>
      </c>
      <c r="I42" s="2" t="n">
        <v>44694551</v>
      </c>
      <c r="J42" s="2" t="str">
        <f aca="false">VLOOKUP(G42,$B$2:$D$96,2,0)</f>
        <v>R3</v>
      </c>
      <c r="K42" s="2" t="s">
        <v>12</v>
      </c>
      <c r="L42" s="0" t="str">
        <f aca="false">IF(J42&lt;&gt;K42,"Y","N")</f>
        <v>N</v>
      </c>
    </row>
    <row r="43" customFormat="false" ht="12.8" hidden="false" customHeight="false" outlineLevel="0" collapsed="false">
      <c r="A43" s="0" t="n">
        <v>42</v>
      </c>
      <c r="B43" s="0" t="s">
        <v>50</v>
      </c>
      <c r="C43" s="0" t="s">
        <v>12</v>
      </c>
      <c r="D43" s="0" t="n">
        <v>41700</v>
      </c>
      <c r="F43" s="0" t="n">
        <v>42</v>
      </c>
      <c r="G43" s="2" t="s">
        <v>73</v>
      </c>
      <c r="H43" s="2" t="s">
        <v>14</v>
      </c>
      <c r="I43" s="2" t="n">
        <v>44061077</v>
      </c>
      <c r="J43" s="2" t="str">
        <f aca="false">VLOOKUP(G43,$B$2:$D$96,2,0)</f>
        <v>R2</v>
      </c>
      <c r="K43" s="2" t="s">
        <v>12</v>
      </c>
      <c r="L43" s="0" t="str">
        <f aca="false">IF(J43&lt;&gt;K43,"Y","N")</f>
        <v>Y</v>
      </c>
    </row>
    <row r="44" customFormat="false" ht="12.8" hidden="true" customHeight="false" outlineLevel="0" collapsed="false">
      <c r="A44" s="0" t="n">
        <v>43</v>
      </c>
      <c r="B44" s="0" t="s">
        <v>74</v>
      </c>
      <c r="C44" s="0" t="s">
        <v>25</v>
      </c>
      <c r="D44" s="0" t="n">
        <v>41600</v>
      </c>
      <c r="F44" s="0" t="n">
        <v>43</v>
      </c>
      <c r="G44" s="2" t="s">
        <v>75</v>
      </c>
      <c r="H44" s="2" t="s">
        <v>14</v>
      </c>
      <c r="I44" s="2" t="n">
        <v>43512952</v>
      </c>
      <c r="J44" s="2" t="str">
        <f aca="false">VLOOKUP(G44,$B$2:$D$96,2,0)</f>
        <v>R3</v>
      </c>
      <c r="K44" s="2" t="s">
        <v>12</v>
      </c>
      <c r="L44" s="0" t="str">
        <f aca="false">IF(J44&lt;&gt;K44,"Y","N")</f>
        <v>N</v>
      </c>
    </row>
    <row r="45" customFormat="false" ht="12.8" hidden="true" customHeight="false" outlineLevel="0" collapsed="false">
      <c r="A45" s="0" t="n">
        <v>44</v>
      </c>
      <c r="B45" s="0" t="s">
        <v>76</v>
      </c>
      <c r="C45" s="0" t="s">
        <v>25</v>
      </c>
      <c r="D45" s="0" t="n">
        <v>41600</v>
      </c>
      <c r="F45" s="0" t="n">
        <v>44</v>
      </c>
      <c r="G45" s="2" t="s">
        <v>44</v>
      </c>
      <c r="H45" s="2" t="s">
        <v>14</v>
      </c>
      <c r="I45" s="2" t="n">
        <v>43462747</v>
      </c>
      <c r="J45" s="2" t="str">
        <f aca="false">VLOOKUP(G45,$B$2:$D$96,2,0)</f>
        <v>R3</v>
      </c>
      <c r="K45" s="2" t="s">
        <v>12</v>
      </c>
      <c r="L45" s="0" t="str">
        <f aca="false">IF(J45&lt;&gt;K45,"Y","N")</f>
        <v>N</v>
      </c>
    </row>
    <row r="46" customFormat="false" ht="12.8" hidden="true" customHeight="false" outlineLevel="0" collapsed="false">
      <c r="A46" s="0" t="n">
        <v>45</v>
      </c>
      <c r="B46" s="0" t="s">
        <v>77</v>
      </c>
      <c r="C46" s="0" t="s">
        <v>32</v>
      </c>
      <c r="D46" s="0" t="n">
        <v>41600</v>
      </c>
      <c r="F46" s="0" t="n">
        <v>45</v>
      </c>
      <c r="G46" s="2" t="s">
        <v>68</v>
      </c>
      <c r="H46" s="2" t="s">
        <v>14</v>
      </c>
      <c r="I46" s="2" t="n">
        <v>42305425</v>
      </c>
      <c r="J46" s="2" t="str">
        <f aca="false">VLOOKUP(G46,$B$2:$D$96,2,0)</f>
        <v>R3</v>
      </c>
      <c r="K46" s="2" t="s">
        <v>12</v>
      </c>
      <c r="L46" s="0" t="str">
        <f aca="false">IF(J46&lt;&gt;K46,"Y","N")</f>
        <v>N</v>
      </c>
    </row>
    <row r="47" customFormat="false" ht="12.8" hidden="true" customHeight="false" outlineLevel="0" collapsed="false">
      <c r="A47" s="0" t="n">
        <v>46</v>
      </c>
      <c r="B47" s="0" t="s">
        <v>78</v>
      </c>
      <c r="C47" s="0" t="s">
        <v>12</v>
      </c>
      <c r="D47" s="0" t="n">
        <v>41550</v>
      </c>
      <c r="F47" s="0" t="n">
        <v>46</v>
      </c>
      <c r="G47" s="2" t="s">
        <v>79</v>
      </c>
      <c r="H47" s="2" t="s">
        <v>14</v>
      </c>
      <c r="I47" s="2" t="n">
        <v>41945131</v>
      </c>
      <c r="J47" s="2" t="str">
        <f aca="false">VLOOKUP(G47,$B$2:$D$96,2,0)</f>
        <v>R3</v>
      </c>
      <c r="K47" s="2" t="s">
        <v>12</v>
      </c>
      <c r="L47" s="0" t="str">
        <f aca="false">IF(J47&lt;&gt;K47,"Y","N")</f>
        <v>N</v>
      </c>
    </row>
    <row r="48" customFormat="false" ht="12.8" hidden="true" customHeight="false" outlineLevel="0" collapsed="false">
      <c r="A48" s="0" t="n">
        <v>47</v>
      </c>
      <c r="B48" s="0" t="s">
        <v>18</v>
      </c>
      <c r="C48" s="0" t="s">
        <v>12</v>
      </c>
      <c r="D48" s="0" t="n">
        <v>41500</v>
      </c>
      <c r="F48" s="0" t="n">
        <v>47</v>
      </c>
      <c r="G48" s="2" t="s">
        <v>29</v>
      </c>
      <c r="H48" s="2" t="s">
        <v>14</v>
      </c>
      <c r="I48" s="2" t="n">
        <v>41821178</v>
      </c>
      <c r="J48" s="2" t="str">
        <f aca="false">VLOOKUP(G48,$B$2:$D$96,2,0)</f>
        <v>R3</v>
      </c>
      <c r="K48" s="2" t="s">
        <v>12</v>
      </c>
      <c r="L48" s="0" t="str">
        <f aca="false">IF(J48&lt;&gt;K48,"Y","N")</f>
        <v>N</v>
      </c>
    </row>
    <row r="49" customFormat="false" ht="12.8" hidden="true" customHeight="false" outlineLevel="0" collapsed="false">
      <c r="A49" s="0" t="n">
        <v>48</v>
      </c>
      <c r="B49" s="0" t="s">
        <v>43</v>
      </c>
      <c r="C49" s="0" t="s">
        <v>25</v>
      </c>
      <c r="D49" s="0" t="n">
        <v>41450</v>
      </c>
      <c r="F49" s="0" t="n">
        <v>48</v>
      </c>
      <c r="G49" s="2" t="s">
        <v>65</v>
      </c>
      <c r="H49" s="2" t="s">
        <v>14</v>
      </c>
      <c r="I49" s="2" t="n">
        <v>40206398</v>
      </c>
      <c r="J49" s="2" t="str">
        <f aca="false">VLOOKUP(G49,$B$2:$D$96,2,0)</f>
        <v>R3</v>
      </c>
      <c r="K49" s="2" t="s">
        <v>12</v>
      </c>
      <c r="L49" s="0" t="str">
        <f aca="false">IF(J49&lt;&gt;K49,"Y","N")</f>
        <v>N</v>
      </c>
    </row>
    <row r="50" customFormat="false" ht="12.8" hidden="false" customHeight="false" outlineLevel="0" collapsed="false">
      <c r="A50" s="0" t="n">
        <v>49</v>
      </c>
      <c r="B50" s="0" t="s">
        <v>80</v>
      </c>
      <c r="C50" s="0" t="s">
        <v>25</v>
      </c>
      <c r="D50" s="0" t="n">
        <v>41350</v>
      </c>
      <c r="F50" s="0" t="n">
        <v>49</v>
      </c>
      <c r="G50" s="3" t="s">
        <v>81</v>
      </c>
      <c r="H50" s="3" t="s">
        <v>14</v>
      </c>
      <c r="I50" s="3" t="n">
        <v>39983416</v>
      </c>
      <c r="J50" s="3" t="str">
        <f aca="false">VLOOKUP(G50,$B$2:$D$96,2,0)</f>
        <v>R3</v>
      </c>
      <c r="K50" s="3" t="s">
        <v>25</v>
      </c>
      <c r="L50" s="0" t="str">
        <f aca="false">IF(J50&lt;&gt;K50,"Y","N")</f>
        <v>Y</v>
      </c>
    </row>
    <row r="51" customFormat="false" ht="12.8" hidden="false" customHeight="false" outlineLevel="0" collapsed="false">
      <c r="A51" s="0" t="n">
        <v>50</v>
      </c>
      <c r="B51" s="0" t="s">
        <v>67</v>
      </c>
      <c r="C51" s="0" t="s">
        <v>25</v>
      </c>
      <c r="D51" s="0" t="n">
        <v>41350</v>
      </c>
      <c r="F51" s="0" t="n">
        <v>50</v>
      </c>
      <c r="G51" s="3" t="s">
        <v>82</v>
      </c>
      <c r="H51" s="3" t="s">
        <v>14</v>
      </c>
      <c r="I51" s="3" t="n">
        <v>39292537</v>
      </c>
      <c r="J51" s="3" t="str">
        <f aca="false">VLOOKUP(G51,$B$2:$D$96,2,0)</f>
        <v>R3</v>
      </c>
      <c r="K51" s="3" t="s">
        <v>25</v>
      </c>
      <c r="L51" s="0" t="str">
        <f aca="false">IF(J51&lt;&gt;K51,"Y","N")</f>
        <v>Y</v>
      </c>
    </row>
    <row r="52" customFormat="false" ht="12.8" hidden="true" customHeight="false" outlineLevel="0" collapsed="false">
      <c r="A52" s="0" t="n">
        <v>51</v>
      </c>
      <c r="B52" s="0" t="s">
        <v>69</v>
      </c>
      <c r="C52" s="0" t="s">
        <v>12</v>
      </c>
      <c r="D52" s="0" t="n">
        <v>41200</v>
      </c>
      <c r="F52" s="0" t="n">
        <v>51</v>
      </c>
      <c r="G52" s="3" t="s">
        <v>55</v>
      </c>
      <c r="H52" s="3" t="s">
        <v>14</v>
      </c>
      <c r="I52" s="3" t="n">
        <v>38983026</v>
      </c>
      <c r="J52" s="3" t="str">
        <f aca="false">VLOOKUP(G52,$B$2:$D$96,2,0)</f>
        <v>R2</v>
      </c>
      <c r="K52" s="3" t="s">
        <v>25</v>
      </c>
      <c r="L52" s="0" t="str">
        <f aca="false">IF(J52&lt;&gt;K52,"Y","N")</f>
        <v>N</v>
      </c>
    </row>
    <row r="53" customFormat="false" ht="12.8" hidden="false" customHeight="false" outlineLevel="0" collapsed="false">
      <c r="A53" s="0" t="n">
        <v>52</v>
      </c>
      <c r="B53" s="0" t="s">
        <v>19</v>
      </c>
      <c r="C53" s="0" t="s">
        <v>20</v>
      </c>
      <c r="D53" s="0" t="n">
        <v>41200</v>
      </c>
      <c r="F53" s="0" t="n">
        <v>52</v>
      </c>
      <c r="G53" s="3" t="s">
        <v>42</v>
      </c>
      <c r="H53" s="3" t="s">
        <v>14</v>
      </c>
      <c r="I53" s="3" t="n">
        <v>38812901</v>
      </c>
      <c r="J53" s="3" t="str">
        <f aca="false">VLOOKUP(G53,$B$2:$D$96,2,0)</f>
        <v>R3</v>
      </c>
      <c r="K53" s="3" t="s">
        <v>25</v>
      </c>
      <c r="L53" s="0" t="str">
        <f aca="false">IF(J53&lt;&gt;K53,"Y","N")</f>
        <v>Y</v>
      </c>
    </row>
    <row r="54" customFormat="false" ht="12.8" hidden="true" customHeight="false" outlineLevel="0" collapsed="false">
      <c r="A54" s="0" t="n">
        <v>53</v>
      </c>
      <c r="B54" s="0" t="s">
        <v>83</v>
      </c>
      <c r="C54" s="0" t="s">
        <v>25</v>
      </c>
      <c r="D54" s="0" t="n">
        <v>41050</v>
      </c>
      <c r="F54" s="0" t="n">
        <v>53</v>
      </c>
      <c r="G54" s="3" t="s">
        <v>84</v>
      </c>
      <c r="H54" s="3" t="s">
        <v>14</v>
      </c>
      <c r="I54" s="3" t="n">
        <v>38425865</v>
      </c>
      <c r="J54" s="3" t="str">
        <f aca="false">VLOOKUP(G54,$B$2:$D$96,2,0)</f>
        <v>R2</v>
      </c>
      <c r="K54" s="3" t="s">
        <v>25</v>
      </c>
      <c r="L54" s="0" t="str">
        <f aca="false">IF(J54&lt;&gt;K54,"Y","N")</f>
        <v>N</v>
      </c>
    </row>
    <row r="55" customFormat="false" ht="12.8" hidden="true" customHeight="false" outlineLevel="0" collapsed="false">
      <c r="A55" s="0" t="n">
        <v>54</v>
      </c>
      <c r="B55" s="0" t="s">
        <v>48</v>
      </c>
      <c r="C55" s="0" t="s">
        <v>12</v>
      </c>
      <c r="D55" s="0" t="n">
        <v>41000</v>
      </c>
      <c r="F55" s="0" t="n">
        <v>54</v>
      </c>
      <c r="G55" s="3" t="s">
        <v>85</v>
      </c>
      <c r="H55" s="3" t="s">
        <v>14</v>
      </c>
      <c r="I55" s="3" t="n">
        <v>37738087</v>
      </c>
      <c r="J55" s="3" t="str">
        <f aca="false">VLOOKUP(G55,$B$2:$D$96,2,0)</f>
        <v>R2</v>
      </c>
      <c r="K55" s="3" t="s">
        <v>25</v>
      </c>
      <c r="L55" s="0" t="str">
        <f aca="false">IF(J55&lt;&gt;K55,"Y","N")</f>
        <v>N</v>
      </c>
    </row>
    <row r="56" customFormat="false" ht="12.8" hidden="false" customHeight="false" outlineLevel="0" collapsed="false">
      <c r="A56" s="0" t="n">
        <v>55</v>
      </c>
      <c r="B56" s="0" t="s">
        <v>86</v>
      </c>
      <c r="C56" s="0" t="s">
        <v>12</v>
      </c>
      <c r="D56" s="0" t="n">
        <v>40800</v>
      </c>
      <c r="F56" s="0" t="n">
        <v>55</v>
      </c>
      <c r="G56" s="3" t="s">
        <v>51</v>
      </c>
      <c r="H56" s="3" t="s">
        <v>14</v>
      </c>
      <c r="I56" s="3" t="n">
        <v>36913424</v>
      </c>
      <c r="J56" s="3" t="str">
        <f aca="false">VLOOKUP(G56,$B$2:$D$96,2,0)</f>
        <v>R3</v>
      </c>
      <c r="K56" s="3" t="s">
        <v>25</v>
      </c>
      <c r="L56" s="0" t="str">
        <f aca="false">IF(J56&lt;&gt;K56,"Y","N")</f>
        <v>Y</v>
      </c>
    </row>
    <row r="57" customFormat="false" ht="12.8" hidden="false" customHeight="false" outlineLevel="0" collapsed="false">
      <c r="A57" s="0" t="n">
        <v>56</v>
      </c>
      <c r="B57" s="0" t="s">
        <v>87</v>
      </c>
      <c r="C57" s="0" t="s">
        <v>12</v>
      </c>
      <c r="D57" s="0" t="n">
        <v>40700</v>
      </c>
      <c r="F57" s="0" t="n">
        <v>56</v>
      </c>
      <c r="G57" s="3" t="s">
        <v>87</v>
      </c>
      <c r="H57" s="3" t="s">
        <v>14</v>
      </c>
      <c r="I57" s="3" t="n">
        <v>36680041</v>
      </c>
      <c r="J57" s="3" t="str">
        <f aca="false">VLOOKUP(G57,$B$2:$D$96,2,0)</f>
        <v>R3</v>
      </c>
      <c r="K57" s="3" t="s">
        <v>25</v>
      </c>
      <c r="L57" s="0" t="str">
        <f aca="false">IF(J57&lt;&gt;K57,"Y","N")</f>
        <v>Y</v>
      </c>
    </row>
    <row r="58" customFormat="false" ht="12.8" hidden="false" customHeight="false" outlineLevel="0" collapsed="false">
      <c r="A58" s="0" t="n">
        <v>57</v>
      </c>
      <c r="B58" s="0" t="s">
        <v>82</v>
      </c>
      <c r="C58" s="0" t="s">
        <v>12</v>
      </c>
      <c r="D58" s="0" t="n">
        <v>40600</v>
      </c>
      <c r="F58" s="0" t="n">
        <v>57</v>
      </c>
      <c r="G58" s="3" t="s">
        <v>61</v>
      </c>
      <c r="H58" s="3" t="s">
        <v>14</v>
      </c>
      <c r="I58" s="3" t="n">
        <v>36489082</v>
      </c>
      <c r="J58" s="3" t="str">
        <f aca="false">VLOOKUP(G58,$B$2:$D$96,2,0)</f>
        <v>R3</v>
      </c>
      <c r="K58" s="3" t="s">
        <v>25</v>
      </c>
      <c r="L58" s="0" t="str">
        <f aca="false">IF(J58&lt;&gt;K58,"Y","N")</f>
        <v>Y</v>
      </c>
    </row>
    <row r="59" customFormat="false" ht="12.8" hidden="true" customHeight="false" outlineLevel="0" collapsed="false">
      <c r="A59" s="0" t="n">
        <v>58</v>
      </c>
      <c r="B59" s="0" t="s">
        <v>52</v>
      </c>
      <c r="C59" s="0" t="s">
        <v>12</v>
      </c>
      <c r="D59" s="0" t="n">
        <v>40550</v>
      </c>
      <c r="F59" s="0" t="n">
        <v>58</v>
      </c>
      <c r="G59" s="3" t="s">
        <v>72</v>
      </c>
      <c r="H59" s="3" t="s">
        <v>14</v>
      </c>
      <c r="I59" s="3" t="n">
        <v>36209413</v>
      </c>
      <c r="J59" s="3" t="str">
        <f aca="false">VLOOKUP(G59,$B$2:$D$96,2,0)</f>
        <v>R2</v>
      </c>
      <c r="K59" s="3" t="s">
        <v>25</v>
      </c>
      <c r="L59" s="0" t="str">
        <f aca="false">IF(J59&lt;&gt;K59,"Y","N")</f>
        <v>N</v>
      </c>
    </row>
    <row r="60" customFormat="false" ht="12.8" hidden="false" customHeight="false" outlineLevel="0" collapsed="false">
      <c r="A60" s="0" t="n">
        <v>59</v>
      </c>
      <c r="B60" s="0" t="s">
        <v>88</v>
      </c>
      <c r="C60" s="0" t="s">
        <v>12</v>
      </c>
      <c r="D60" s="0" t="n">
        <v>40150</v>
      </c>
      <c r="F60" s="0" t="n">
        <v>59</v>
      </c>
      <c r="G60" s="3" t="s">
        <v>89</v>
      </c>
      <c r="H60" s="3" t="s">
        <v>14</v>
      </c>
      <c r="I60" s="3" t="n">
        <v>35254869</v>
      </c>
      <c r="J60" s="3" t="str">
        <f aca="false">VLOOKUP(G60,$B$2:$D$96,2,0)</f>
        <v>R3</v>
      </c>
      <c r="K60" s="3" t="s">
        <v>25</v>
      </c>
      <c r="L60" s="0" t="str">
        <f aca="false">IF(J60&lt;&gt;K60,"Y","N")</f>
        <v>Y</v>
      </c>
    </row>
    <row r="61" customFormat="false" ht="12.8" hidden="false" customHeight="false" outlineLevel="0" collapsed="false">
      <c r="A61" s="0" t="n">
        <v>60</v>
      </c>
      <c r="B61" s="0" t="s">
        <v>90</v>
      </c>
      <c r="C61" s="0" t="s">
        <v>25</v>
      </c>
      <c r="D61" s="0" t="n">
        <v>39900</v>
      </c>
      <c r="F61" s="0" t="n">
        <v>60</v>
      </c>
      <c r="G61" s="3" t="s">
        <v>78</v>
      </c>
      <c r="H61" s="3" t="s">
        <v>14</v>
      </c>
      <c r="I61" s="3" t="n">
        <v>35161037</v>
      </c>
      <c r="J61" s="3" t="str">
        <f aca="false">VLOOKUP(G61,$B$2:$D$96,2,0)</f>
        <v>R3</v>
      </c>
      <c r="K61" s="3" t="s">
        <v>25</v>
      </c>
      <c r="L61" s="0" t="str">
        <f aca="false">IF(J61&lt;&gt;K61,"Y","N")</f>
        <v>Y</v>
      </c>
    </row>
    <row r="62" customFormat="false" ht="12.8" hidden="true" customHeight="false" outlineLevel="0" collapsed="false">
      <c r="A62" s="0" t="n">
        <v>61</v>
      </c>
      <c r="B62" s="0" t="s">
        <v>62</v>
      </c>
      <c r="C62" s="0" t="s">
        <v>12</v>
      </c>
      <c r="D62" s="0" t="n">
        <v>39700</v>
      </c>
      <c r="F62" s="0" t="n">
        <v>61</v>
      </c>
      <c r="G62" s="3" t="s">
        <v>57</v>
      </c>
      <c r="H62" s="3" t="s">
        <v>14</v>
      </c>
      <c r="I62" s="3" t="n">
        <v>34675350</v>
      </c>
      <c r="J62" s="3" t="str">
        <f aca="false">VLOOKUP(G62,$B$2:$D$96,2,0)</f>
        <v>R2</v>
      </c>
      <c r="K62" s="3" t="s">
        <v>25</v>
      </c>
      <c r="L62" s="0" t="str">
        <f aca="false">IF(J62&lt;&gt;K62,"Y","N")</f>
        <v>N</v>
      </c>
    </row>
    <row r="63" customFormat="false" ht="12.8" hidden="true" customHeight="false" outlineLevel="0" collapsed="false">
      <c r="A63" s="0" t="n">
        <v>62</v>
      </c>
      <c r="B63" s="0" t="s">
        <v>91</v>
      </c>
      <c r="C63" s="0" t="s">
        <v>25</v>
      </c>
      <c r="D63" s="0" t="n">
        <v>39650</v>
      </c>
      <c r="F63" s="0" t="n">
        <v>62</v>
      </c>
      <c r="G63" s="3" t="s">
        <v>90</v>
      </c>
      <c r="H63" s="3" t="s">
        <v>14</v>
      </c>
      <c r="I63" s="3" t="n">
        <v>33247681</v>
      </c>
      <c r="J63" s="3" t="str">
        <f aca="false">VLOOKUP(G63,$B$2:$D$96,2,0)</f>
        <v>R2</v>
      </c>
      <c r="K63" s="3" t="s">
        <v>25</v>
      </c>
      <c r="L63" s="0" t="str">
        <f aca="false">IF(J63&lt;&gt;K63,"Y","N")</f>
        <v>N</v>
      </c>
    </row>
    <row r="64" customFormat="false" ht="12.8" hidden="true" customHeight="false" outlineLevel="0" collapsed="false">
      <c r="A64" s="0" t="n">
        <v>63</v>
      </c>
      <c r="B64" s="0" t="s">
        <v>73</v>
      </c>
      <c r="C64" s="0" t="s">
        <v>25</v>
      </c>
      <c r="D64" s="0" t="n">
        <v>39600</v>
      </c>
      <c r="F64" s="0" t="n">
        <v>63</v>
      </c>
      <c r="G64" s="3" t="s">
        <v>91</v>
      </c>
      <c r="H64" s="3" t="s">
        <v>14</v>
      </c>
      <c r="I64" s="3" t="n">
        <v>32946563</v>
      </c>
      <c r="J64" s="3" t="str">
        <f aca="false">VLOOKUP(G64,$B$2:$D$96,2,0)</f>
        <v>R2</v>
      </c>
      <c r="K64" s="3" t="s">
        <v>25</v>
      </c>
      <c r="L64" s="0" t="str">
        <f aca="false">IF(J64&lt;&gt;K64,"Y","N")</f>
        <v>N</v>
      </c>
    </row>
    <row r="65" customFormat="false" ht="12.8" hidden="false" customHeight="false" outlineLevel="0" collapsed="false">
      <c r="A65" s="0" t="n">
        <v>64</v>
      </c>
      <c r="B65" s="0" t="s">
        <v>30</v>
      </c>
      <c r="C65" s="0" t="s">
        <v>12</v>
      </c>
      <c r="D65" s="0" t="n">
        <v>39000</v>
      </c>
      <c r="F65" s="0" t="n">
        <v>64</v>
      </c>
      <c r="G65" s="3" t="s">
        <v>70</v>
      </c>
      <c r="H65" s="3" t="s">
        <v>14</v>
      </c>
      <c r="I65" s="3" t="n">
        <v>32870146</v>
      </c>
      <c r="J65" s="3" t="str">
        <f aca="false">VLOOKUP(G65,$B$2:$D$96,2,0)</f>
        <v>R3</v>
      </c>
      <c r="K65" s="3" t="s">
        <v>25</v>
      </c>
      <c r="L65" s="0" t="str">
        <f aca="false">IF(J65&lt;&gt;K65,"Y","N")</f>
        <v>Y</v>
      </c>
    </row>
    <row r="66" customFormat="false" ht="12.8" hidden="true" customHeight="false" outlineLevel="0" collapsed="false">
      <c r="A66" s="0" t="n">
        <v>65</v>
      </c>
      <c r="B66" s="0" t="s">
        <v>66</v>
      </c>
      <c r="C66" s="0" t="s">
        <v>12</v>
      </c>
      <c r="D66" s="0" t="n">
        <v>38750</v>
      </c>
      <c r="F66" s="0" t="n">
        <v>65</v>
      </c>
      <c r="G66" s="3" t="s">
        <v>76</v>
      </c>
      <c r="H66" s="3" t="s">
        <v>14</v>
      </c>
      <c r="I66" s="3" t="n">
        <v>32745302</v>
      </c>
      <c r="J66" s="3" t="str">
        <f aca="false">VLOOKUP(G66,$B$2:$D$96,2,0)</f>
        <v>R2</v>
      </c>
      <c r="K66" s="3" t="s">
        <v>25</v>
      </c>
      <c r="L66" s="0" t="str">
        <f aca="false">IF(J66&lt;&gt;K66,"Y","N")</f>
        <v>N</v>
      </c>
    </row>
    <row r="67" customFormat="false" ht="12.8" hidden="true" customHeight="false" outlineLevel="0" collapsed="false">
      <c r="A67" s="0" t="n">
        <v>66</v>
      </c>
      <c r="B67" s="0" t="s">
        <v>92</v>
      </c>
      <c r="C67" s="0" t="s">
        <v>25</v>
      </c>
      <c r="D67" s="0" t="n">
        <v>38000</v>
      </c>
      <c r="F67" s="0" t="n">
        <v>66</v>
      </c>
      <c r="G67" s="3" t="s">
        <v>40</v>
      </c>
      <c r="H67" s="3" t="s">
        <v>14</v>
      </c>
      <c r="I67" s="3" t="n">
        <v>32535995</v>
      </c>
      <c r="J67" s="3" t="str">
        <f aca="false">VLOOKUP(G67,$B$2:$D$96,2,0)</f>
        <v>R2</v>
      </c>
      <c r="K67" s="3" t="s">
        <v>25</v>
      </c>
      <c r="L67" s="0" t="str">
        <f aca="false">IF(J67&lt;&gt;K67,"Y","N")</f>
        <v>N</v>
      </c>
    </row>
    <row r="68" customFormat="false" ht="12.8" hidden="true" customHeight="false" outlineLevel="0" collapsed="false">
      <c r="A68" s="0" t="n">
        <v>67</v>
      </c>
      <c r="B68" s="0" t="s">
        <v>93</v>
      </c>
      <c r="C68" s="0" t="s">
        <v>32</v>
      </c>
      <c r="D68" s="0" t="n">
        <v>37400</v>
      </c>
      <c r="F68" s="0" t="n">
        <v>67</v>
      </c>
      <c r="G68" s="3" t="s">
        <v>94</v>
      </c>
      <c r="H68" s="3" t="s">
        <v>14</v>
      </c>
      <c r="I68" s="3" t="n">
        <v>32208334</v>
      </c>
      <c r="J68" s="3" t="str">
        <f aca="false">VLOOKUP(G68,$B$2:$D$96,2,0)</f>
        <v>R2</v>
      </c>
      <c r="K68" s="3" t="s">
        <v>25</v>
      </c>
      <c r="L68" s="0" t="str">
        <f aca="false">IF(J68&lt;&gt;K68,"Y","N")</f>
        <v>N</v>
      </c>
    </row>
    <row r="69" customFormat="false" ht="12.8" hidden="false" customHeight="false" outlineLevel="0" collapsed="false">
      <c r="A69" s="0" t="n">
        <v>68</v>
      </c>
      <c r="B69" s="0" t="s">
        <v>95</v>
      </c>
      <c r="C69" s="0" t="s">
        <v>25</v>
      </c>
      <c r="D69" s="0" t="n">
        <v>37150</v>
      </c>
      <c r="F69" s="0" t="n">
        <v>68</v>
      </c>
      <c r="G69" s="3" t="s">
        <v>96</v>
      </c>
      <c r="H69" s="3" t="s">
        <v>14</v>
      </c>
      <c r="I69" s="3" t="n">
        <v>32063585</v>
      </c>
      <c r="J69" s="3" t="str">
        <f aca="false">VLOOKUP(G69,$B$2:$D$96,2,0)</f>
        <v>R3</v>
      </c>
      <c r="K69" s="3" t="s">
        <v>25</v>
      </c>
      <c r="L69" s="0" t="str">
        <f aca="false">IF(J69&lt;&gt;K69,"Y","N")</f>
        <v>Y</v>
      </c>
    </row>
    <row r="70" customFormat="false" ht="12.8" hidden="false" customHeight="false" outlineLevel="0" collapsed="false">
      <c r="A70" s="0" t="n">
        <v>69</v>
      </c>
      <c r="B70" s="0" t="s">
        <v>71</v>
      </c>
      <c r="C70" s="0" t="s">
        <v>25</v>
      </c>
      <c r="D70" s="0" t="n">
        <v>36650</v>
      </c>
      <c r="F70" s="0" t="n">
        <v>69</v>
      </c>
      <c r="G70" s="3" t="s">
        <v>77</v>
      </c>
      <c r="H70" s="3" t="s">
        <v>14</v>
      </c>
      <c r="I70" s="3" t="n">
        <v>31632430</v>
      </c>
      <c r="J70" s="3" t="str">
        <f aca="false">VLOOKUP(G70,$B$2:$D$96,2,0)</f>
        <v>R1</v>
      </c>
      <c r="K70" s="3" t="s">
        <v>25</v>
      </c>
      <c r="L70" s="0" t="str">
        <f aca="false">IF(J70&lt;&gt;K70,"Y","N")</f>
        <v>Y</v>
      </c>
    </row>
    <row r="71" customFormat="false" ht="12.8" hidden="false" customHeight="false" outlineLevel="0" collapsed="false">
      <c r="A71" s="0" t="n">
        <v>70</v>
      </c>
      <c r="B71" s="0" t="s">
        <v>89</v>
      </c>
      <c r="C71" s="0" t="s">
        <v>12</v>
      </c>
      <c r="D71" s="0" t="n">
        <v>36200</v>
      </c>
      <c r="F71" s="0" t="n">
        <v>70</v>
      </c>
      <c r="G71" s="3" t="s">
        <v>88</v>
      </c>
      <c r="H71" s="3" t="s">
        <v>14</v>
      </c>
      <c r="I71" s="3" t="n">
        <v>29056416</v>
      </c>
      <c r="J71" s="3" t="str">
        <f aca="false">VLOOKUP(G71,$B$2:$D$96,2,0)</f>
        <v>R3</v>
      </c>
      <c r="K71" s="3" t="s">
        <v>25</v>
      </c>
      <c r="L71" s="0" t="str">
        <f aca="false">IF(J71&lt;&gt;K71,"Y","N")</f>
        <v>Y</v>
      </c>
    </row>
    <row r="72" customFormat="false" ht="12.8" hidden="true" customHeight="false" outlineLevel="0" collapsed="false">
      <c r="A72" s="0" t="n">
        <v>71</v>
      </c>
      <c r="B72" s="0" t="s">
        <v>75</v>
      </c>
      <c r="C72" s="0" t="s">
        <v>12</v>
      </c>
      <c r="D72" s="0" t="n">
        <v>34850</v>
      </c>
      <c r="F72" s="0" t="n">
        <v>71</v>
      </c>
      <c r="G72" s="3" t="s">
        <v>97</v>
      </c>
      <c r="H72" s="3" t="s">
        <v>14</v>
      </c>
      <c r="I72" s="3" t="n">
        <v>28377214</v>
      </c>
      <c r="J72" s="3" t="str">
        <f aca="false">VLOOKUP(G72,$B$2:$D$96,2,0)</f>
        <v>R2</v>
      </c>
      <c r="K72" s="3" t="s">
        <v>25</v>
      </c>
      <c r="L72" s="0" t="str">
        <f aca="false">IF(J72&lt;&gt;K72,"Y","N")</f>
        <v>N</v>
      </c>
    </row>
    <row r="73" customFormat="false" ht="12.8" hidden="true" customHeight="false" outlineLevel="0" collapsed="false">
      <c r="A73" s="0" t="n">
        <v>72</v>
      </c>
      <c r="B73" s="0" t="s">
        <v>96</v>
      </c>
      <c r="C73" s="0" t="s">
        <v>12</v>
      </c>
      <c r="D73" s="0" t="n">
        <v>34750</v>
      </c>
      <c r="F73" s="0" t="n">
        <v>72</v>
      </c>
      <c r="G73" s="3" t="s">
        <v>98</v>
      </c>
      <c r="H73" s="3" t="s">
        <v>14</v>
      </c>
      <c r="I73" s="3" t="n">
        <v>28090343</v>
      </c>
      <c r="J73" s="3" t="str">
        <f aca="false">VLOOKUP(G73,$B$2:$D$96,2,0)</f>
        <v>R2</v>
      </c>
      <c r="K73" s="3" t="s">
        <v>25</v>
      </c>
      <c r="L73" s="0" t="str">
        <f aca="false">IF(J73&lt;&gt;K73,"Y","N")</f>
        <v>N</v>
      </c>
    </row>
    <row r="74" customFormat="false" ht="12.8" hidden="true" customHeight="false" outlineLevel="0" collapsed="false">
      <c r="A74" s="0" t="n">
        <v>73</v>
      </c>
      <c r="B74" s="0" t="s">
        <v>94</v>
      </c>
      <c r="C74" s="0" t="s">
        <v>25</v>
      </c>
      <c r="D74" s="0" t="n">
        <v>34200</v>
      </c>
      <c r="F74" s="0" t="n">
        <v>73</v>
      </c>
      <c r="G74" s="3" t="s">
        <v>95</v>
      </c>
      <c r="H74" s="3" t="s">
        <v>14</v>
      </c>
      <c r="I74" s="3" t="n">
        <v>27934186</v>
      </c>
      <c r="J74" s="3" t="str">
        <f aca="false">VLOOKUP(G74,$B$2:$D$96,2,0)</f>
        <v>R2</v>
      </c>
      <c r="K74" s="3" t="s">
        <v>25</v>
      </c>
      <c r="L74" s="0" t="str">
        <f aca="false">IF(J74&lt;&gt;K74,"Y","N")</f>
        <v>N</v>
      </c>
    </row>
    <row r="75" customFormat="false" ht="12.8" hidden="false" customHeight="false" outlineLevel="0" collapsed="false">
      <c r="A75" s="0" t="n">
        <v>74</v>
      </c>
      <c r="B75" s="0" t="s">
        <v>99</v>
      </c>
      <c r="C75" s="0" t="s">
        <v>25</v>
      </c>
      <c r="D75" s="0" t="n">
        <v>33950</v>
      </c>
      <c r="F75" s="0" t="n">
        <v>74</v>
      </c>
      <c r="G75" s="3" t="s">
        <v>93</v>
      </c>
      <c r="H75" s="3" t="s">
        <v>14</v>
      </c>
      <c r="I75" s="3" t="n">
        <v>26407337</v>
      </c>
      <c r="J75" s="3" t="str">
        <f aca="false">VLOOKUP(G75,$B$2:$D$96,2,0)</f>
        <v>R1</v>
      </c>
      <c r="K75" s="3" t="s">
        <v>25</v>
      </c>
      <c r="L75" s="0" t="str">
        <f aca="false">IF(J75&lt;&gt;K75,"Y","N")</f>
        <v>Y</v>
      </c>
    </row>
    <row r="76" customFormat="false" ht="12.8" hidden="true" customHeight="false" outlineLevel="0" collapsed="false">
      <c r="A76" s="0" t="n">
        <v>75</v>
      </c>
      <c r="B76" s="0" t="s">
        <v>97</v>
      </c>
      <c r="C76" s="0" t="s">
        <v>25</v>
      </c>
      <c r="D76" s="0" t="n">
        <v>33650</v>
      </c>
      <c r="F76" s="0" t="n">
        <v>75</v>
      </c>
      <c r="G76" s="3" t="s">
        <v>54</v>
      </c>
      <c r="H76" s="3" t="s">
        <v>14</v>
      </c>
      <c r="I76" s="3" t="n">
        <v>26342914</v>
      </c>
      <c r="J76" s="3" t="str">
        <f aca="false">VLOOKUP(G76,$B$2:$D$96,2,0)</f>
        <v>R2</v>
      </c>
      <c r="K76" s="3" t="s">
        <v>25</v>
      </c>
      <c r="L76" s="0" t="str">
        <f aca="false">IF(J76&lt;&gt;K76,"Y","N")</f>
        <v>N</v>
      </c>
    </row>
    <row r="77" customFormat="false" ht="12.8" hidden="true" customHeight="false" outlineLevel="0" collapsed="false">
      <c r="A77" s="0" t="n">
        <v>76</v>
      </c>
      <c r="B77" s="0" t="s">
        <v>79</v>
      </c>
      <c r="C77" s="0" t="s">
        <v>12</v>
      </c>
      <c r="D77" s="0" t="n">
        <v>33400</v>
      </c>
      <c r="F77" s="0" t="n">
        <v>76</v>
      </c>
      <c r="G77" s="3" t="s">
        <v>99</v>
      </c>
      <c r="H77" s="3" t="s">
        <v>14</v>
      </c>
      <c r="I77" s="3" t="n">
        <v>26273182</v>
      </c>
      <c r="J77" s="3" t="str">
        <f aca="false">VLOOKUP(G77,$B$2:$D$96,2,0)</f>
        <v>R2</v>
      </c>
      <c r="K77" s="3" t="s">
        <v>25</v>
      </c>
      <c r="L77" s="0" t="str">
        <f aca="false">IF(J77&lt;&gt;K77,"Y","N")</f>
        <v>N</v>
      </c>
    </row>
    <row r="78" customFormat="false" ht="12.8" hidden="true" customHeight="false" outlineLevel="0" collapsed="false">
      <c r="A78" s="0" t="n">
        <v>77</v>
      </c>
      <c r="B78" s="0" t="s">
        <v>100</v>
      </c>
      <c r="C78" s="0" t="s">
        <v>32</v>
      </c>
      <c r="D78" s="0" t="n">
        <v>33100</v>
      </c>
      <c r="F78" s="0" t="n">
        <v>77</v>
      </c>
      <c r="G78" s="3" t="s">
        <v>80</v>
      </c>
      <c r="H78" s="3" t="s">
        <v>14</v>
      </c>
      <c r="I78" s="3" t="n">
        <v>24567614</v>
      </c>
      <c r="J78" s="3" t="str">
        <f aca="false">VLOOKUP(G78,$B$2:$D$96,2,0)</f>
        <v>R2</v>
      </c>
      <c r="K78" s="3" t="s">
        <v>25</v>
      </c>
      <c r="L78" s="0" t="str">
        <f aca="false">IF(J78&lt;&gt;K78,"Y","N")</f>
        <v>N</v>
      </c>
    </row>
    <row r="79" customFormat="false" ht="12.8" hidden="true" customHeight="false" outlineLevel="0" collapsed="false">
      <c r="A79" s="0" t="n">
        <v>78</v>
      </c>
      <c r="B79" s="0" t="s">
        <v>101</v>
      </c>
      <c r="C79" s="0" t="s">
        <v>25</v>
      </c>
      <c r="D79" s="0" t="n">
        <v>32400</v>
      </c>
      <c r="F79" s="0" t="n">
        <v>78</v>
      </c>
      <c r="G79" s="3" t="s">
        <v>92</v>
      </c>
      <c r="H79" s="3" t="s">
        <v>14</v>
      </c>
      <c r="I79" s="3" t="n">
        <v>24522048</v>
      </c>
      <c r="J79" s="3" t="str">
        <f aca="false">VLOOKUP(G79,$B$2:$D$96,2,0)</f>
        <v>R2</v>
      </c>
      <c r="K79" s="3" t="s">
        <v>25</v>
      </c>
      <c r="L79" s="0" t="str">
        <f aca="false">IF(J79&lt;&gt;K79,"Y","N")</f>
        <v>N</v>
      </c>
    </row>
    <row r="80" customFormat="false" ht="12.8" hidden="false" customHeight="false" outlineLevel="0" collapsed="false">
      <c r="A80" s="0" t="n">
        <v>79</v>
      </c>
      <c r="B80" s="0" t="s">
        <v>98</v>
      </c>
      <c r="C80" s="0" t="s">
        <v>25</v>
      </c>
      <c r="D80" s="0" t="n">
        <v>32300</v>
      </c>
      <c r="F80" s="0" t="n">
        <v>79</v>
      </c>
      <c r="G80" s="3" t="s">
        <v>102</v>
      </c>
      <c r="H80" s="3" t="s">
        <v>14</v>
      </c>
      <c r="I80" s="3" t="n">
        <v>23659470</v>
      </c>
      <c r="J80" s="3" t="str">
        <f aca="false">VLOOKUP(G80,$B$2:$D$96,2,0)</f>
        <v>R1</v>
      </c>
      <c r="K80" s="3" t="s">
        <v>25</v>
      </c>
      <c r="L80" s="0" t="str">
        <f aca="false">IF(J80&lt;&gt;K80,"Y","N")</f>
        <v>Y</v>
      </c>
    </row>
    <row r="81" customFormat="false" ht="12.8" hidden="false" customHeight="false" outlineLevel="0" collapsed="false">
      <c r="A81" s="0" t="n">
        <v>80</v>
      </c>
      <c r="B81" s="0" t="s">
        <v>41</v>
      </c>
      <c r="C81" s="0" t="s">
        <v>25</v>
      </c>
      <c r="D81" s="0" t="n">
        <v>28350</v>
      </c>
      <c r="F81" s="0" t="n">
        <v>80</v>
      </c>
      <c r="G81" s="3" t="s">
        <v>103</v>
      </c>
      <c r="H81" s="3" t="s">
        <v>14</v>
      </c>
      <c r="I81" s="3" t="n">
        <v>22693743</v>
      </c>
      <c r="J81" s="3" t="str">
        <f aca="false">VLOOKUP(G81,$B$2:$D$96,2,0)</f>
        <v>R1</v>
      </c>
      <c r="K81" s="3" t="s">
        <v>25</v>
      </c>
      <c r="L81" s="0" t="str">
        <f aca="false">IF(J81&lt;&gt;K81,"Y","N")</f>
        <v>Y</v>
      </c>
    </row>
    <row r="82" customFormat="false" ht="12.8" hidden="false" customHeight="false" outlineLevel="0" collapsed="false">
      <c r="A82" s="0" t="n">
        <v>81</v>
      </c>
      <c r="B82" s="0" t="s">
        <v>60</v>
      </c>
      <c r="C82" s="0" t="s">
        <v>20</v>
      </c>
      <c r="D82" s="0" t="n">
        <v>26000</v>
      </c>
      <c r="F82" s="0" t="n">
        <v>81</v>
      </c>
      <c r="G82" s="3" t="s">
        <v>104</v>
      </c>
      <c r="H82" s="3" t="s">
        <v>14</v>
      </c>
      <c r="I82" s="3" t="n">
        <v>22490384</v>
      </c>
      <c r="J82" s="3" t="str">
        <f aca="false">VLOOKUP(G82,$B$2:$D$96,2,0)</f>
        <v>R1</v>
      </c>
      <c r="K82" s="3" t="s">
        <v>25</v>
      </c>
      <c r="L82" s="0" t="str">
        <f aca="false">IF(J82&lt;&gt;K82,"Y","N")</f>
        <v>Y</v>
      </c>
    </row>
    <row r="83" customFormat="false" ht="12.8" hidden="true" customHeight="false" outlineLevel="0" collapsed="false">
      <c r="A83" s="0" t="n">
        <v>82</v>
      </c>
      <c r="B83" s="0" t="s">
        <v>105</v>
      </c>
      <c r="C83" s="0" t="s">
        <v>25</v>
      </c>
      <c r="D83" s="0" t="n">
        <v>24750</v>
      </c>
      <c r="F83" s="0" t="n">
        <v>82</v>
      </c>
      <c r="G83" s="3" t="s">
        <v>106</v>
      </c>
      <c r="H83" s="3" t="s">
        <v>14</v>
      </c>
      <c r="I83" s="3" t="n">
        <v>22270020</v>
      </c>
      <c r="J83" s="3" t="str">
        <f aca="false">VLOOKUP(G83,$B$2:$D$96,2,0)</f>
        <v>R2</v>
      </c>
      <c r="K83" s="3" t="s">
        <v>25</v>
      </c>
      <c r="L83" s="0" t="str">
        <f aca="false">IF(J83&lt;&gt;K83,"Y","N")</f>
        <v>N</v>
      </c>
    </row>
    <row r="84" customFormat="false" ht="12.8" hidden="true" customHeight="false" outlineLevel="0" collapsed="false">
      <c r="A84" s="0" t="n">
        <v>83</v>
      </c>
      <c r="B84" s="0" t="s">
        <v>85</v>
      </c>
      <c r="C84" s="0" t="s">
        <v>25</v>
      </c>
      <c r="D84" s="0" t="n">
        <v>23850</v>
      </c>
      <c r="F84" s="0" t="n">
        <v>83</v>
      </c>
      <c r="G84" s="3" t="s">
        <v>24</v>
      </c>
      <c r="H84" s="3" t="s">
        <v>14</v>
      </c>
      <c r="I84" s="3" t="n">
        <v>22264321</v>
      </c>
      <c r="J84" s="3" t="str">
        <f aca="false">VLOOKUP(G84,$B$2:$D$96,2,0)</f>
        <v>R2</v>
      </c>
      <c r="K84" s="3" t="s">
        <v>25</v>
      </c>
      <c r="L84" s="0" t="str">
        <f aca="false">IF(J84&lt;&gt;K84,"Y","N")</f>
        <v>N</v>
      </c>
    </row>
    <row r="85" customFormat="false" ht="12.8" hidden="true" customHeight="false" outlineLevel="0" collapsed="false">
      <c r="A85" s="0" t="n">
        <v>84</v>
      </c>
      <c r="B85" s="0" t="s">
        <v>103</v>
      </c>
      <c r="C85" s="0" t="s">
        <v>32</v>
      </c>
      <c r="D85" s="0" t="n">
        <v>23250</v>
      </c>
      <c r="F85" s="0" t="n">
        <v>84</v>
      </c>
      <c r="G85" s="3" t="s">
        <v>105</v>
      </c>
      <c r="H85" s="3" t="s">
        <v>14</v>
      </c>
      <c r="I85" s="3" t="n">
        <v>21409488</v>
      </c>
      <c r="J85" s="3" t="str">
        <f aca="false">VLOOKUP(G85,$B$2:$D$96,2,0)</f>
        <v>R2</v>
      </c>
      <c r="K85" s="3" t="s">
        <v>25</v>
      </c>
      <c r="L85" s="0" t="str">
        <f aca="false">IF(J85&lt;&gt;K85,"Y","N")</f>
        <v>N</v>
      </c>
    </row>
    <row r="86" customFormat="false" ht="12.8" hidden="true" customHeight="false" outlineLevel="0" collapsed="false">
      <c r="A86" s="0" t="n">
        <v>85</v>
      </c>
      <c r="B86" s="0" t="s">
        <v>81</v>
      </c>
      <c r="C86" s="0" t="s">
        <v>12</v>
      </c>
      <c r="D86" s="0" t="n">
        <v>22700</v>
      </c>
      <c r="F86" s="0" t="n">
        <v>85</v>
      </c>
      <c r="G86" s="3" t="s">
        <v>101</v>
      </c>
      <c r="H86" s="3" t="s">
        <v>14</v>
      </c>
      <c r="I86" s="3" t="n">
        <v>21084295</v>
      </c>
      <c r="J86" s="3" t="str">
        <f aca="false">VLOOKUP(G86,$B$2:$D$96,2,0)</f>
        <v>R2</v>
      </c>
      <c r="K86" s="3" t="s">
        <v>25</v>
      </c>
      <c r="L86" s="0" t="str">
        <f aca="false">IF(J86&lt;&gt;K86,"Y","N")</f>
        <v>N</v>
      </c>
    </row>
    <row r="87" customFormat="false" ht="12.8" hidden="true" customHeight="false" outlineLevel="0" collapsed="false">
      <c r="A87" s="0" t="n">
        <v>86</v>
      </c>
      <c r="B87" s="0" t="s">
        <v>107</v>
      </c>
      <c r="C87" s="0" t="s">
        <v>32</v>
      </c>
      <c r="D87" s="0" t="n">
        <v>22550</v>
      </c>
      <c r="F87" s="0" t="n">
        <v>86</v>
      </c>
      <c r="G87" s="3" t="s">
        <v>74</v>
      </c>
      <c r="H87" s="3" t="s">
        <v>14</v>
      </c>
      <c r="I87" s="3" t="n">
        <v>20377859</v>
      </c>
      <c r="J87" s="3" t="str">
        <f aca="false">VLOOKUP(G87,$B$2:$D$96,2,0)</f>
        <v>R2</v>
      </c>
      <c r="K87" s="3" t="s">
        <v>25</v>
      </c>
      <c r="L87" s="0" t="str">
        <f aca="false">IF(J87&lt;&gt;K87,"Y","N")</f>
        <v>N</v>
      </c>
    </row>
    <row r="88" customFormat="false" ht="12.8" hidden="true" customHeight="false" outlineLevel="0" collapsed="false">
      <c r="A88" s="0" t="n">
        <v>87</v>
      </c>
      <c r="B88" s="0" t="s">
        <v>106</v>
      </c>
      <c r="C88" s="0" t="s">
        <v>25</v>
      </c>
      <c r="D88" s="0" t="n">
        <v>21950</v>
      </c>
      <c r="F88" s="0" t="n">
        <v>87</v>
      </c>
      <c r="G88" s="4" t="s">
        <v>100</v>
      </c>
      <c r="H88" s="4" t="s">
        <v>14</v>
      </c>
      <c r="I88" s="4" t="n">
        <v>16178651</v>
      </c>
      <c r="J88" s="4" t="str">
        <f aca="false">VLOOKUP(G88,$B$2:$D$96,2,0)</f>
        <v>R1</v>
      </c>
      <c r="K88" s="4" t="s">
        <v>32</v>
      </c>
      <c r="L88" s="0" t="str">
        <f aca="false">IF(J88&lt;&gt;K88,"Y","N")</f>
        <v>N</v>
      </c>
    </row>
    <row r="89" customFormat="false" ht="12.8" hidden="true" customHeight="false" outlineLevel="0" collapsed="false">
      <c r="A89" s="0" t="n">
        <v>88</v>
      </c>
      <c r="B89" s="0" t="s">
        <v>102</v>
      </c>
      <c r="C89" s="0" t="s">
        <v>32</v>
      </c>
      <c r="D89" s="0" t="n">
        <v>21900</v>
      </c>
      <c r="F89" s="0" t="n">
        <v>88</v>
      </c>
      <c r="G89" s="4" t="s">
        <v>31</v>
      </c>
      <c r="H89" s="4" t="s">
        <v>14</v>
      </c>
      <c r="I89" s="4" t="n">
        <v>15975036</v>
      </c>
      <c r="J89" s="4" t="str">
        <f aca="false">VLOOKUP(G89,$B$2:$D$96,2,0)</f>
        <v>R1</v>
      </c>
      <c r="K89" s="4" t="s">
        <v>32</v>
      </c>
      <c r="L89" s="0" t="str">
        <f aca="false">IF(J89&lt;&gt;K89,"Y","N")</f>
        <v>N</v>
      </c>
    </row>
    <row r="90" customFormat="false" ht="12.8" hidden="false" customHeight="false" outlineLevel="0" collapsed="false">
      <c r="A90" s="0" t="n">
        <v>89</v>
      </c>
      <c r="B90" s="0" t="s">
        <v>84</v>
      </c>
      <c r="C90" s="0" t="s">
        <v>25</v>
      </c>
      <c r="D90" s="0" t="n">
        <v>18150</v>
      </c>
      <c r="F90" s="0" t="n">
        <v>89</v>
      </c>
      <c r="G90" s="4" t="s">
        <v>83</v>
      </c>
      <c r="H90" s="4" t="s">
        <v>14</v>
      </c>
      <c r="I90" s="4" t="n">
        <v>15907304</v>
      </c>
      <c r="J90" s="4" t="str">
        <f aca="false">VLOOKUP(G90,$B$2:$D$96,2,0)</f>
        <v>R2</v>
      </c>
      <c r="K90" s="4" t="s">
        <v>32</v>
      </c>
      <c r="L90" s="0" t="str">
        <f aca="false">IF(J90&lt;&gt;K90,"Y","N")</f>
        <v>Y</v>
      </c>
    </row>
    <row r="91" customFormat="false" ht="12.8" hidden="true" customHeight="false" outlineLevel="0" collapsed="false">
      <c r="A91" s="0" t="n">
        <v>90</v>
      </c>
      <c r="B91" s="0" t="s">
        <v>104</v>
      </c>
      <c r="C91" s="0" t="s">
        <v>32</v>
      </c>
      <c r="D91" s="0" t="n">
        <v>17100</v>
      </c>
      <c r="F91" s="0" t="n">
        <v>90</v>
      </c>
      <c r="G91" s="4" t="s">
        <v>107</v>
      </c>
      <c r="H91" s="4" t="s">
        <v>14</v>
      </c>
      <c r="I91" s="4" t="n">
        <v>13101221</v>
      </c>
      <c r="J91" s="4" t="str">
        <f aca="false">VLOOKUP(G91,$B$2:$D$96,2,0)</f>
        <v>R1</v>
      </c>
      <c r="K91" s="4" t="s">
        <v>32</v>
      </c>
      <c r="L91" s="0" t="str">
        <f aca="false">IF(J91&lt;&gt;K91,"Y","N")</f>
        <v>N</v>
      </c>
    </row>
    <row r="92" customFormat="false" ht="12.8" hidden="true" customHeight="false" outlineLevel="0" collapsed="false">
      <c r="A92" s="0" t="n">
        <v>91</v>
      </c>
      <c r="B92" s="0" t="s">
        <v>108</v>
      </c>
      <c r="C92" s="0" t="s">
        <v>20</v>
      </c>
      <c r="D92" s="0" t="n">
        <v>5550</v>
      </c>
      <c r="F92" s="0" t="n">
        <v>91</v>
      </c>
      <c r="G92" s="4" t="s">
        <v>108</v>
      </c>
      <c r="H92" s="4" t="s">
        <v>14</v>
      </c>
      <c r="I92" s="4" t="n">
        <v>3808120</v>
      </c>
      <c r="J92" s="4" t="str">
        <f aca="false">VLOOKUP(G92,$B$2:$D$96,2,0)</f>
        <v>R4</v>
      </c>
      <c r="K92" s="4" t="s">
        <v>20</v>
      </c>
      <c r="L92" s="0" t="str">
        <f aca="false">IF(J92&lt;&gt;K92,"Y","N")</f>
        <v>N</v>
      </c>
    </row>
    <row r="93" customFormat="false" ht="12.8" hidden="false" customHeight="false" outlineLevel="0" collapsed="false">
      <c r="A93" s="0" t="n">
        <v>92</v>
      </c>
      <c r="B93" s="0" t="s">
        <v>109</v>
      </c>
      <c r="C93" s="0" t="s">
        <v>12</v>
      </c>
      <c r="D93" s="0" t="n">
        <v>0</v>
      </c>
      <c r="F93" s="0" t="n">
        <v>92</v>
      </c>
      <c r="G93" s="4" t="s">
        <v>109</v>
      </c>
      <c r="H93" s="4" t="s">
        <v>14</v>
      </c>
      <c r="I93" s="4" t="n">
        <v>0</v>
      </c>
      <c r="J93" s="4" t="s">
        <v>12</v>
      </c>
      <c r="K93" s="4" t="s">
        <v>32</v>
      </c>
      <c r="L93" s="0" t="str">
        <f aca="false">IF(J93&lt;&gt;K93,"Y","N")</f>
        <v>Y</v>
      </c>
    </row>
    <row r="94" customFormat="false" ht="12.8" hidden="true" customHeight="false" outlineLevel="0" collapsed="false">
      <c r="A94" s="0" t="n">
        <v>93</v>
      </c>
      <c r="B94" s="0" t="s">
        <v>110</v>
      </c>
      <c r="C94" s="0" t="s">
        <v>32</v>
      </c>
      <c r="D94" s="0" t="n">
        <v>0</v>
      </c>
      <c r="F94" s="0" t="n">
        <v>93</v>
      </c>
      <c r="G94" s="4" t="s">
        <v>110</v>
      </c>
      <c r="H94" s="4" t="s">
        <v>14</v>
      </c>
      <c r="I94" s="4" t="n">
        <v>0</v>
      </c>
      <c r="J94" s="4" t="s">
        <v>32</v>
      </c>
      <c r="K94" s="4" t="s">
        <v>32</v>
      </c>
      <c r="L94" s="0" t="str">
        <f aca="false">IF(J94&lt;&gt;K94,"Y","N")</f>
        <v>N</v>
      </c>
    </row>
    <row r="95" customFormat="false" ht="12.8" hidden="true" customHeight="false" outlineLevel="0" collapsed="false">
      <c r="A95" s="0" t="n">
        <v>94</v>
      </c>
      <c r="B95" s="0" t="s">
        <v>111</v>
      </c>
      <c r="C95" s="0" t="s">
        <v>32</v>
      </c>
      <c r="D95" s="0" t="n">
        <v>0</v>
      </c>
      <c r="F95" s="0" t="n">
        <v>94</v>
      </c>
      <c r="G95" s="4" t="s">
        <v>111</v>
      </c>
      <c r="H95" s="4" t="s">
        <v>14</v>
      </c>
      <c r="I95" s="4" t="n">
        <v>0</v>
      </c>
      <c r="J95" s="4" t="s">
        <v>32</v>
      </c>
      <c r="K95" s="4" t="s">
        <v>32</v>
      </c>
      <c r="L95" s="0" t="str">
        <f aca="false">IF(J95&lt;&gt;K95,"Y","N")</f>
        <v>N</v>
      </c>
    </row>
    <row r="96" customFormat="false" ht="12.8" hidden="false" customHeight="false" outlineLevel="0" collapsed="false">
      <c r="A96" s="0" t="n">
        <v>95</v>
      </c>
      <c r="B96" s="0" t="s">
        <v>112</v>
      </c>
      <c r="C96" s="0" t="s">
        <v>12</v>
      </c>
      <c r="D96" s="0" t="n">
        <v>0</v>
      </c>
      <c r="F96" s="0" t="n">
        <v>95</v>
      </c>
      <c r="G96" s="4" t="s">
        <v>112</v>
      </c>
      <c r="H96" s="4" t="s">
        <v>14</v>
      </c>
      <c r="I96" s="4" t="n">
        <v>0</v>
      </c>
      <c r="J96" s="4" t="s">
        <v>12</v>
      </c>
      <c r="K96" s="4" t="s">
        <v>32</v>
      </c>
      <c r="L96" s="0" t="str">
        <f aca="false">IF(J96&lt;&gt;K96,"Y","N")</f>
        <v>Y</v>
      </c>
    </row>
  </sheetData>
  <autoFilter ref="F1:L96">
    <filterColumn colId="6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2026-02-08T16:56:51Z</dcterms:modified>
  <cp:revision>1</cp:revision>
  <dc:subject/>
  <dc:title/>
</cp:coreProperties>
</file>