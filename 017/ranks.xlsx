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TS!$A$1:$D$98</definedName>
    <definedName function="false" hidden="true" localSheetId="1" name="_xlnm._FilterDatabase" vbProcedure="false">VS!$A$1:$G$101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<sst xmlns="http://schemas.openxmlformats.org/spreadsheetml/2006/main" count="429" uniqueCount="121">
  <si>
    <t xml:space="preserve">Sparwoche</t>
  </si>
  <si>
    <t xml:space="preserve">R2</t>
  </si>
  <si>
    <t xml:space="preserve">R3</t>
  </si>
  <si>
    <t xml:space="preserve">All in woche</t>
  </si>
  <si>
    <t xml:space="preserve">Position</t>
  </si>
  <si>
    <t xml:space="preserve">Name</t>
  </si>
  <si>
    <t xml:space="preserve">Points</t>
  </si>
  <si>
    <t xml:space="preserve">Alt</t>
  </si>
  <si>
    <t xml:space="preserve">Neu</t>
  </si>
  <si>
    <t xml:space="preserve">Change</t>
  </si>
  <si>
    <t xml:space="preserve">Ausnahme</t>
  </si>
  <si>
    <t xml:space="preserve">Bugab0o</t>
  </si>
  <si>
    <t xml:space="preserve">Last Wolf Warrior</t>
  </si>
  <si>
    <t xml:space="preserve">JSheridan</t>
  </si>
  <si>
    <t xml:space="preserve">R4</t>
  </si>
  <si>
    <t xml:space="preserve">Svela17</t>
  </si>
  <si>
    <t xml:space="preserve">Fran171526</t>
  </si>
  <si>
    <t xml:space="preserve">supi pupi</t>
  </si>
  <si>
    <t xml:space="preserve">Chrisiiii</t>
  </si>
  <si>
    <t xml:space="preserve">Bogo und Pini</t>
  </si>
  <si>
    <r>
      <rPr>
        <sz val="10"/>
        <rFont val="Arial"/>
        <family val="2"/>
        <charset val="1"/>
      </rPr>
      <t xml:space="preserve">pizm8 </t>
    </r>
    <r>
      <rPr>
        <sz val="10"/>
        <rFont val="Microsoft YaHei"/>
        <family val="2"/>
      </rPr>
      <t xml:space="preserve">ツ</t>
    </r>
  </si>
  <si>
    <t xml:space="preserve">Kotor47</t>
  </si>
  <si>
    <t xml:space="preserve">giMp</t>
  </si>
  <si>
    <t xml:space="preserve">Giorgiotown</t>
  </si>
  <si>
    <t xml:space="preserve">Smowy</t>
  </si>
  <si>
    <t xml:space="preserve">Cluster82</t>
  </si>
  <si>
    <t xml:space="preserve">SNPOL</t>
  </si>
  <si>
    <t xml:space="preserve">azerty57</t>
  </si>
  <si>
    <t xml:space="preserve">Space peak</t>
  </si>
  <si>
    <t xml:space="preserve">Dragon blou</t>
  </si>
  <si>
    <t xml:space="preserve">LaFleur32</t>
  </si>
  <si>
    <t xml:space="preserve">Baba Basti</t>
  </si>
  <si>
    <t xml:space="preserve">cappu97</t>
  </si>
  <si>
    <t xml:space="preserve">Pinsel20</t>
  </si>
  <si>
    <t xml:space="preserve">Li La LiNuS</t>
  </si>
  <si>
    <t xml:space="preserve">Kytrider</t>
  </si>
  <si>
    <t xml:space="preserve">haasenpeter rex</t>
  </si>
  <si>
    <t xml:space="preserve">Sphere8472</t>
  </si>
  <si>
    <t xml:space="preserve">Haulsen</t>
  </si>
  <si>
    <t xml:space="preserve">Aenwe</t>
  </si>
  <si>
    <t xml:space="preserve">UMY Stern</t>
  </si>
  <si>
    <t xml:space="preserve">Golden FOX</t>
  </si>
  <si>
    <t xml:space="preserve">Archy Monkey</t>
  </si>
  <si>
    <t xml:space="preserve">PHOENIX FOX</t>
  </si>
  <si>
    <t xml:space="preserve">K E R S Y</t>
  </si>
  <si>
    <t xml:space="preserve">SmartesGirl</t>
  </si>
  <si>
    <t xml:space="preserve">DragonWiz</t>
  </si>
  <si>
    <t xml:space="preserve">Fürst der Nazgúl</t>
  </si>
  <si>
    <t xml:space="preserve">커프 부인</t>
  </si>
  <si>
    <t xml:space="preserve">Leijonamieli</t>
  </si>
  <si>
    <t xml:space="preserve">jukata</t>
  </si>
  <si>
    <t xml:space="preserve">lefueT</t>
  </si>
  <si>
    <t xml:space="preserve">ECSI</t>
  </si>
  <si>
    <t xml:space="preserve">Dejweed</t>
  </si>
  <si>
    <t xml:space="preserve">Toby Urbex</t>
  </si>
  <si>
    <t xml:space="preserve">ozzy5255</t>
  </si>
  <si>
    <t xml:space="preserve">Tom12234455</t>
  </si>
  <si>
    <t xml:space="preserve">LatastrophenUlli</t>
  </si>
  <si>
    <t xml:space="preserve">Queeniiiiii</t>
  </si>
  <si>
    <t xml:space="preserve">R5</t>
  </si>
  <si>
    <t xml:space="preserve">Sanya Longer</t>
  </si>
  <si>
    <t xml:space="preserve">DaliborDaki</t>
  </si>
  <si>
    <t xml:space="preserve">GaaGol</t>
  </si>
  <si>
    <t xml:space="preserve">Fürstin</t>
  </si>
  <si>
    <t xml:space="preserve">Anakín</t>
  </si>
  <si>
    <t xml:space="preserve">dome94G</t>
  </si>
  <si>
    <t xml:space="preserve">MetauChopf</t>
  </si>
  <si>
    <t xml:space="preserve">ToxicV9</t>
  </si>
  <si>
    <t xml:space="preserve">-</t>
  </si>
  <si>
    <t xml:space="preserve">sunny75</t>
  </si>
  <si>
    <t xml:space="preserve">fffeyz</t>
  </si>
  <si>
    <t xml:space="preserve">EXITUS</t>
  </si>
  <si>
    <t xml:space="preserve">feimel</t>
  </si>
  <si>
    <t xml:space="preserve">CalziferFire</t>
  </si>
  <si>
    <t xml:space="preserve">Mischel89</t>
  </si>
  <si>
    <t xml:space="preserve">waynowazza</t>
  </si>
  <si>
    <t xml:space="preserve">Tyskie 66</t>
  </si>
  <si>
    <r>
      <rPr>
        <sz val="10"/>
        <rFont val="Arial"/>
        <family val="2"/>
        <charset val="1"/>
      </rPr>
      <t xml:space="preserve">تاج</t>
    </r>
    <r>
      <rPr>
        <sz val="10"/>
        <rFont val="Microsoft YaHei"/>
        <family val="2"/>
        <charset val="1"/>
      </rPr>
      <t xml:space="preserve">M</t>
    </r>
  </si>
  <si>
    <t xml:space="preserve">Katerina77</t>
  </si>
  <si>
    <t xml:space="preserve">Itstheghoul</t>
  </si>
  <si>
    <t xml:space="preserve">jobcenter FFM</t>
  </si>
  <si>
    <t xml:space="preserve">Peeter99</t>
  </si>
  <si>
    <t xml:space="preserve">Lilien1999</t>
  </si>
  <si>
    <t xml:space="preserve">Campio91</t>
  </si>
  <si>
    <t xml:space="preserve">Sultan Murat X</t>
  </si>
  <si>
    <t xml:space="preserve">Feivel D MauS</t>
  </si>
  <si>
    <t xml:space="preserve">Z4ID</t>
  </si>
  <si>
    <t xml:space="preserve">The Pharo 2026</t>
  </si>
  <si>
    <t xml:space="preserve">Mac1902</t>
  </si>
  <si>
    <t xml:space="preserve">Seniorcoca</t>
  </si>
  <si>
    <t xml:space="preserve">Kpiftw</t>
  </si>
  <si>
    <t xml:space="preserve">yyyyyyvhnmll</t>
  </si>
  <si>
    <t xml:space="preserve">Cheesynator</t>
  </si>
  <si>
    <t xml:space="preserve">Dr Cal Lightman</t>
  </si>
  <si>
    <t xml:space="preserve">MiepStreet</t>
  </si>
  <si>
    <t xml:space="preserve">R1</t>
  </si>
  <si>
    <t xml:space="preserve">VxClicker</t>
  </si>
  <si>
    <t xml:space="preserve">K u r d o</t>
  </si>
  <si>
    <t xml:space="preserve">Jónny666</t>
  </si>
  <si>
    <t xml:space="preserve">Himbeertony</t>
  </si>
  <si>
    <t xml:space="preserve">Peridakles</t>
  </si>
  <si>
    <t xml:space="preserve">Cichax0</t>
  </si>
  <si>
    <t xml:space="preserve">neu</t>
  </si>
  <si>
    <t xml:space="preserve">LunaLiya</t>
  </si>
  <si>
    <t xml:space="preserve">PHILAES</t>
  </si>
  <si>
    <t xml:space="preserve">111Dave111</t>
  </si>
  <si>
    <t xml:space="preserve">Babakuji</t>
  </si>
  <si>
    <t xml:space="preserve">Adhd9</t>
  </si>
  <si>
    <t xml:space="preserve">Moooolah</t>
  </si>
  <si>
    <t xml:space="preserve">Adám</t>
  </si>
  <si>
    <t xml:space="preserve">JSnoopy</t>
  </si>
  <si>
    <t xml:space="preserve">Fluffy</t>
  </si>
  <si>
    <t xml:space="preserve">Mudin364</t>
  </si>
  <si>
    <t xml:space="preserve">CL16CS55</t>
  </si>
  <si>
    <t xml:space="preserve">FugitiveRazor1</t>
  </si>
  <si>
    <t xml:space="preserve">Skywölkchen</t>
  </si>
  <si>
    <t xml:space="preserve">position</t>
  </si>
  <si>
    <t xml:space="preserve">name</t>
  </si>
  <si>
    <t xml:space="preserve">rank</t>
  </si>
  <si>
    <t xml:space="preserve">points</t>
  </si>
  <si>
    <t xml:space="preserve">vs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</si>
</sst>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  <font>
      <sz val="10"/>
      <name val="Microsoft YaHe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E6E905"/>
        <bgColor rgb="FFFFFF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E6E905"/>
          <bgColor rgb="FF000000"/>
        </patternFill>
      </fill>
    </dxf>
    <dxf>
      <fill>
        <patternFill patternType="solid">
          <fgColor rgb="FFFF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D86" activeCellId="0" sqref="D8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8.86"/>
    <col collapsed="false" customWidth="true" hidden="false" outlineLevel="0" max="5" min="5" style="2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2.8" hidden="true" customHeight="false" outlineLevel="0" collapsed="false">
      <c r="A2" s="2" t="n">
        <v>1</v>
      </c>
      <c r="B2" s="1" t="s">
        <v>11</v>
      </c>
      <c r="C2" s="2" t="n">
        <v>208734015</v>
      </c>
      <c r="D2" s="1" t="str">
        <f aca="false">VLOOKUP(B2,TS!$B$2:$D$99,2,0)</f>
        <v>R3</v>
      </c>
      <c r="E2" s="3" t="s">
        <v>2</v>
      </c>
      <c r="F2" s="1" t="str">
        <f aca="false">IF(D2&lt;&gt;E2,"Y","N")</f>
        <v>N</v>
      </c>
    </row>
    <row r="3" customFormat="false" ht="12.8" hidden="true" customHeight="false" outlineLevel="0" collapsed="false">
      <c r="A3" s="2" t="n">
        <v>2</v>
      </c>
      <c r="B3" s="2" t="s">
        <v>12</v>
      </c>
      <c r="C3" s="2" t="n">
        <v>164292306</v>
      </c>
      <c r="D3" s="1" t="str">
        <f aca="false">VLOOKUP(B3,TS!$B$2:$D$99,2,0)</f>
        <v>R3</v>
      </c>
      <c r="E3" s="3" t="s">
        <v>2</v>
      </c>
      <c r="F3" s="1" t="str">
        <f aca="false">IF(D3&lt;&gt;E3,"Y","N")</f>
        <v>N</v>
      </c>
    </row>
    <row r="4" customFormat="false" ht="12.8" hidden="true" customHeight="false" outlineLevel="0" collapsed="false">
      <c r="A4" s="2" t="n">
        <v>3</v>
      </c>
      <c r="B4" s="2" t="s">
        <v>13</v>
      </c>
      <c r="C4" s="2" t="n">
        <v>158596859</v>
      </c>
      <c r="D4" s="1" t="str">
        <f aca="false">VLOOKUP(B4,TS!$B$2:$D$99,2,0)</f>
        <v>R4</v>
      </c>
      <c r="E4" s="3" t="s">
        <v>14</v>
      </c>
      <c r="F4" s="1" t="str">
        <f aca="false">IF(D4&lt;&gt;E4,"Y","N")</f>
        <v>N</v>
      </c>
    </row>
    <row r="5" customFormat="false" ht="12.8" hidden="true" customHeight="false" outlineLevel="0" collapsed="false">
      <c r="A5" s="2" t="n">
        <v>4</v>
      </c>
      <c r="B5" s="2" t="s">
        <v>15</v>
      </c>
      <c r="C5" s="2" t="n">
        <v>152745146</v>
      </c>
      <c r="D5" s="1" t="str">
        <f aca="false">VLOOKUP(B5,TS!$B$2:$D$99,2,0)</f>
        <v>R3</v>
      </c>
      <c r="E5" s="3" t="s">
        <v>2</v>
      </c>
      <c r="F5" s="1" t="str">
        <f aca="false">IF(D5&lt;&gt;E5,"Y","N")</f>
        <v>N</v>
      </c>
    </row>
    <row r="6" customFormat="false" ht="12.8" hidden="true" customHeight="false" outlineLevel="0" collapsed="false">
      <c r="A6" s="2" t="n">
        <v>5</v>
      </c>
      <c r="B6" s="1" t="s">
        <v>16</v>
      </c>
      <c r="C6" s="2" t="n">
        <v>149527588</v>
      </c>
      <c r="D6" s="1" t="str">
        <f aca="false">VLOOKUP(B6,TS!$B$2:$D$99,2,0)</f>
        <v>R4</v>
      </c>
      <c r="E6" s="3" t="s">
        <v>14</v>
      </c>
      <c r="F6" s="1" t="str">
        <f aca="false">IF(D6&lt;&gt;E6,"Y","N")</f>
        <v>N</v>
      </c>
    </row>
    <row r="7" customFormat="false" ht="12.8" hidden="true" customHeight="false" outlineLevel="0" collapsed="false">
      <c r="A7" s="2" t="n">
        <v>6</v>
      </c>
      <c r="B7" s="2" t="s">
        <v>17</v>
      </c>
      <c r="C7" s="2" t="n">
        <v>143097807</v>
      </c>
      <c r="D7" s="1" t="str">
        <f aca="false">VLOOKUP(B7,TS!$B$2:$D$99,2,0)</f>
        <v>R4</v>
      </c>
      <c r="E7" s="3" t="s">
        <v>14</v>
      </c>
      <c r="F7" s="1" t="str">
        <f aca="false">IF(D7&lt;&gt;E7,"Y","N")</f>
        <v>N</v>
      </c>
    </row>
    <row r="8" customFormat="false" ht="12.8" hidden="true" customHeight="false" outlineLevel="0" collapsed="false">
      <c r="A8" s="2" t="n">
        <v>7</v>
      </c>
      <c r="B8" s="2" t="s">
        <v>18</v>
      </c>
      <c r="C8" s="2" t="n">
        <v>141512282</v>
      </c>
      <c r="D8" s="1" t="str">
        <f aca="false">VLOOKUP(B8,TS!$B$2:$D$99,2,0)</f>
        <v>R3</v>
      </c>
      <c r="E8" s="3" t="s">
        <v>2</v>
      </c>
      <c r="F8" s="1" t="str">
        <f aca="false">IF(D8&lt;&gt;E8,"Y","N")</f>
        <v>N</v>
      </c>
    </row>
    <row r="9" customFormat="false" ht="12.8" hidden="true" customHeight="false" outlineLevel="0" collapsed="false">
      <c r="A9" s="2" t="n">
        <v>8</v>
      </c>
      <c r="B9" s="1" t="s">
        <v>19</v>
      </c>
      <c r="C9" s="2" t="n">
        <v>138043484</v>
      </c>
      <c r="D9" s="1" t="str">
        <f aca="false">VLOOKUP(B9,TS!$B$2:$D$99,2,0)</f>
        <v>R3</v>
      </c>
      <c r="E9" s="3" t="s">
        <v>2</v>
      </c>
      <c r="F9" s="1" t="str">
        <f aca="false">IF(D9&lt;&gt;E9,"Y","N")</f>
        <v>N</v>
      </c>
    </row>
    <row r="10" customFormat="false" ht="14.15" hidden="true" customHeight="false" outlineLevel="0" collapsed="false">
      <c r="A10" s="2" t="n">
        <v>9</v>
      </c>
      <c r="B10" s="2" t="s">
        <v>20</v>
      </c>
      <c r="C10" s="2" t="n">
        <v>137392792</v>
      </c>
      <c r="D10" s="1" t="str">
        <f aca="false">VLOOKUP(B10,TS!$B$2:$D$99,2,0)</f>
        <v>R4</v>
      </c>
      <c r="E10" s="3" t="s">
        <v>14</v>
      </c>
      <c r="F10" s="1" t="str">
        <f aca="false">IF(D10&lt;&gt;E10,"Y","N")</f>
        <v>N</v>
      </c>
    </row>
    <row r="11" customFormat="false" ht="12.8" hidden="true" customHeight="false" outlineLevel="0" collapsed="false">
      <c r="A11" s="2" t="n">
        <v>10</v>
      </c>
      <c r="B11" s="1" t="s">
        <v>21</v>
      </c>
      <c r="C11" s="2" t="n">
        <v>134636683</v>
      </c>
      <c r="D11" s="1" t="str">
        <f aca="false">VLOOKUP(B11,TS!$B$2:$D$99,2,0)</f>
        <v>R3</v>
      </c>
      <c r="E11" s="3" t="s">
        <v>2</v>
      </c>
      <c r="F11" s="1" t="str">
        <f aca="false">IF(D11&lt;&gt;E11,"Y","N")</f>
        <v>N</v>
      </c>
    </row>
    <row r="12" customFormat="false" ht="12.8" hidden="true" customHeight="false" outlineLevel="0" collapsed="false">
      <c r="A12" s="2" t="n">
        <v>11</v>
      </c>
      <c r="B12" s="2" t="s">
        <v>22</v>
      </c>
      <c r="C12" s="2" t="n">
        <v>133448324</v>
      </c>
      <c r="D12" s="1" t="str">
        <f aca="false">VLOOKUP(B12,TS!$B$2:$D$99,2,0)</f>
        <v>R3</v>
      </c>
      <c r="E12" s="3" t="s">
        <v>2</v>
      </c>
      <c r="F12" s="1" t="str">
        <f aca="false">IF(D12&lt;&gt;E12,"Y","N")</f>
        <v>N</v>
      </c>
    </row>
    <row r="13" customFormat="false" ht="12.8" hidden="true" customHeight="false" outlineLevel="0" collapsed="false">
      <c r="A13" s="2" t="n">
        <v>12</v>
      </c>
      <c r="B13" s="2" t="s">
        <v>23</v>
      </c>
      <c r="C13" s="2" t="n">
        <v>125291128</v>
      </c>
      <c r="D13" s="1" t="str">
        <f aca="false">VLOOKUP(B13,TS!$B$2:$D$99,2,0)</f>
        <v>R3</v>
      </c>
      <c r="E13" s="3" t="s">
        <v>2</v>
      </c>
      <c r="F13" s="1" t="str">
        <f aca="false">IF(D13&lt;&gt;E13,"Y","N")</f>
        <v>N</v>
      </c>
    </row>
    <row r="14" customFormat="false" ht="12.8" hidden="true" customHeight="false" outlineLevel="0" collapsed="false">
      <c r="A14" s="2" t="n">
        <v>13</v>
      </c>
      <c r="B14" s="2" t="s">
        <v>24</v>
      </c>
      <c r="C14" s="2" t="n">
        <v>125137929</v>
      </c>
      <c r="D14" s="1" t="str">
        <f aca="false">VLOOKUP(B14,TS!$B$2:$D$99,2,0)</f>
        <v>R4</v>
      </c>
      <c r="E14" s="3" t="s">
        <v>14</v>
      </c>
      <c r="F14" s="1" t="str">
        <f aca="false">IF(D14&lt;&gt;E14,"Y","N")</f>
        <v>N</v>
      </c>
    </row>
    <row r="15" customFormat="false" ht="12.8" hidden="true" customHeight="false" outlineLevel="0" collapsed="false">
      <c r="A15" s="2" t="n">
        <v>14</v>
      </c>
      <c r="B15" s="2" t="s">
        <v>25</v>
      </c>
      <c r="C15" s="2" t="n">
        <v>120900356</v>
      </c>
      <c r="D15" s="1" t="str">
        <f aca="false">VLOOKUP(B15,TS!$B$2:$D$99,2,0)</f>
        <v>R3</v>
      </c>
      <c r="E15" s="3" t="s">
        <v>2</v>
      </c>
      <c r="F15" s="1" t="str">
        <f aca="false">IF(D15&lt;&gt;E15,"Y","N")</f>
        <v>N</v>
      </c>
    </row>
    <row r="16" customFormat="false" ht="12.8" hidden="true" customHeight="false" outlineLevel="0" collapsed="false">
      <c r="A16" s="2" t="n">
        <v>15</v>
      </c>
      <c r="B16" s="1" t="s">
        <v>26</v>
      </c>
      <c r="C16" s="2" t="n">
        <v>120330465</v>
      </c>
      <c r="D16" s="1" t="str">
        <f aca="false">VLOOKUP(B16,TS!$B$2:$D$99,2,0)</f>
        <v>R3</v>
      </c>
      <c r="E16" s="3" t="s">
        <v>2</v>
      </c>
      <c r="F16" s="1" t="str">
        <f aca="false">IF(D16&lt;&gt;E16,"Y","N")</f>
        <v>N</v>
      </c>
    </row>
    <row r="17" customFormat="false" ht="12.8" hidden="true" customHeight="false" outlineLevel="0" collapsed="false">
      <c r="A17" s="2" t="n">
        <v>16</v>
      </c>
      <c r="B17" s="2" t="s">
        <v>27</v>
      </c>
      <c r="C17" s="2" t="n">
        <v>120226636</v>
      </c>
      <c r="D17" s="1" t="str">
        <f aca="false">VLOOKUP(B17,TS!$B$2:$D$99,2,0)</f>
        <v>R3</v>
      </c>
      <c r="E17" s="3" t="s">
        <v>2</v>
      </c>
      <c r="F17" s="1" t="str">
        <f aca="false">IF(D17&lt;&gt;E17,"Y","N")</f>
        <v>N</v>
      </c>
    </row>
    <row r="18" customFormat="false" ht="12.8" hidden="true" customHeight="false" outlineLevel="0" collapsed="false">
      <c r="A18" s="2" t="n">
        <v>17</v>
      </c>
      <c r="B18" s="2" t="s">
        <v>28</v>
      </c>
      <c r="C18" s="2" t="n">
        <v>118906619</v>
      </c>
      <c r="D18" s="1" t="str">
        <f aca="false">VLOOKUP(B18,TS!$B$2:$D$99,2,0)</f>
        <v>R3</v>
      </c>
      <c r="E18" s="3" t="s">
        <v>2</v>
      </c>
      <c r="F18" s="1" t="str">
        <f aca="false">IF(D18&lt;&gt;E18,"Y","N")</f>
        <v>N</v>
      </c>
    </row>
    <row r="19" customFormat="false" ht="12.8" hidden="true" customHeight="false" outlineLevel="0" collapsed="false">
      <c r="A19" s="2" t="n">
        <v>18</v>
      </c>
      <c r="B19" s="2" t="s">
        <v>29</v>
      </c>
      <c r="C19" s="2" t="n">
        <v>118431824</v>
      </c>
      <c r="D19" s="1" t="str">
        <f aca="false">VLOOKUP(B19,TS!$B$2:$D$99,2,0)</f>
        <v>R3</v>
      </c>
      <c r="E19" s="3" t="s">
        <v>2</v>
      </c>
      <c r="F19" s="1" t="str">
        <f aca="false">IF(D19&lt;&gt;E19,"Y","N")</f>
        <v>N</v>
      </c>
    </row>
    <row r="20" customFormat="false" ht="12.8" hidden="true" customHeight="false" outlineLevel="0" collapsed="false">
      <c r="A20" s="2" t="n">
        <v>19</v>
      </c>
      <c r="B20" s="2" t="s">
        <v>30</v>
      </c>
      <c r="C20" s="2" t="n">
        <v>117427730</v>
      </c>
      <c r="D20" s="1" t="str">
        <f aca="false">VLOOKUP(B20,TS!$B$2:$D$99,2,0)</f>
        <v>R3</v>
      </c>
      <c r="E20" s="3" t="s">
        <v>2</v>
      </c>
      <c r="F20" s="1" t="str">
        <f aca="false">IF(D20&lt;&gt;E20,"Y","N")</f>
        <v>N</v>
      </c>
    </row>
    <row r="21" customFormat="false" ht="12.8" hidden="true" customHeight="false" outlineLevel="0" collapsed="false">
      <c r="A21" s="2" t="n">
        <v>20</v>
      </c>
      <c r="B21" s="2" t="s">
        <v>31</v>
      </c>
      <c r="C21" s="2" t="n">
        <v>116016755</v>
      </c>
      <c r="D21" s="1" t="str">
        <f aca="false">VLOOKUP(B21,TS!$B$2:$D$99,2,0)</f>
        <v>R3</v>
      </c>
      <c r="E21" s="3" t="s">
        <v>2</v>
      </c>
      <c r="F21" s="1" t="str">
        <f aca="false">IF(D21&lt;&gt;E21,"Y","N")</f>
        <v>N</v>
      </c>
    </row>
    <row r="22" customFormat="false" ht="12.8" hidden="true" customHeight="false" outlineLevel="0" collapsed="false">
      <c r="A22" s="2" t="n">
        <v>21</v>
      </c>
      <c r="B22" s="2" t="s">
        <v>32</v>
      </c>
      <c r="C22" s="2" t="n">
        <v>114226288</v>
      </c>
      <c r="D22" s="1" t="str">
        <f aca="false">VLOOKUP(B22,TS!$B$2:$D$99,2,0)</f>
        <v>R4</v>
      </c>
      <c r="E22" s="3" t="s">
        <v>14</v>
      </c>
      <c r="F22" s="1" t="str">
        <f aca="false">IF(D22&lt;&gt;E22,"Y","N")</f>
        <v>N</v>
      </c>
    </row>
    <row r="23" customFormat="false" ht="12.8" hidden="true" customHeight="false" outlineLevel="0" collapsed="false">
      <c r="A23" s="2" t="n">
        <v>22</v>
      </c>
      <c r="B23" s="4" t="s">
        <v>33</v>
      </c>
      <c r="C23" s="2" t="n">
        <v>113133870</v>
      </c>
      <c r="D23" s="1" t="str">
        <f aca="false">VLOOKUP(B23,TS!$B$2:$D$99,2,0)</f>
        <v>R3</v>
      </c>
      <c r="E23" s="3" t="s">
        <v>2</v>
      </c>
      <c r="F23" s="1" t="str">
        <f aca="false">IF(D23&lt;&gt;E23,"Y","N")</f>
        <v>N</v>
      </c>
    </row>
    <row r="24" customFormat="false" ht="12.8" hidden="true" customHeight="false" outlineLevel="0" collapsed="false">
      <c r="A24" s="2" t="n">
        <v>23</v>
      </c>
      <c r="B24" s="1" t="s">
        <v>34</v>
      </c>
      <c r="C24" s="2" t="n">
        <v>111570002</v>
      </c>
      <c r="D24" s="1" t="str">
        <f aca="false">VLOOKUP(B24,TS!$B$2:$D$99,2,0)</f>
        <v>R3</v>
      </c>
      <c r="E24" s="3" t="s">
        <v>2</v>
      </c>
      <c r="F24" s="1" t="str">
        <f aca="false">IF(D24&lt;&gt;E24,"Y","N")</f>
        <v>N</v>
      </c>
    </row>
    <row r="25" customFormat="false" ht="12.8" hidden="true" customHeight="false" outlineLevel="0" collapsed="false">
      <c r="A25" s="2" t="n">
        <v>24</v>
      </c>
      <c r="B25" s="2" t="s">
        <v>35</v>
      </c>
      <c r="C25" s="2" t="n">
        <v>111074009</v>
      </c>
      <c r="D25" s="1" t="str">
        <f aca="false">VLOOKUP(B25,TS!$B$2:$D$99,2,0)</f>
        <v>R4</v>
      </c>
      <c r="E25" s="3" t="s">
        <v>14</v>
      </c>
      <c r="F25" s="1" t="str">
        <f aca="false">IF(D25&lt;&gt;E25,"Y","N")</f>
        <v>N</v>
      </c>
    </row>
    <row r="26" customFormat="false" ht="12.8" hidden="true" customHeight="false" outlineLevel="0" collapsed="false">
      <c r="A26" s="2" t="n">
        <v>25</v>
      </c>
      <c r="B26" s="2" t="s">
        <v>36</v>
      </c>
      <c r="C26" s="2" t="n">
        <v>108396311</v>
      </c>
      <c r="D26" s="1" t="str">
        <f aca="false">VLOOKUP(B26,TS!$B$2:$D$99,2,0)</f>
        <v>R4</v>
      </c>
      <c r="E26" s="3" t="s">
        <v>14</v>
      </c>
      <c r="F26" s="1" t="str">
        <f aca="false">IF(D26&lt;&gt;E26,"Y","N")</f>
        <v>N</v>
      </c>
    </row>
    <row r="27" customFormat="false" ht="12.8" hidden="true" customHeight="false" outlineLevel="0" collapsed="false">
      <c r="A27" s="2" t="n">
        <v>26</v>
      </c>
      <c r="B27" s="2" t="s">
        <v>37</v>
      </c>
      <c r="C27" s="2" t="n">
        <v>105666847</v>
      </c>
      <c r="D27" s="1" t="str">
        <f aca="false">VLOOKUP(B27,TS!$B$2:$D$99,2,0)</f>
        <v>R3</v>
      </c>
      <c r="E27" s="3" t="s">
        <v>2</v>
      </c>
      <c r="F27" s="1" t="str">
        <f aca="false">IF(D27&lt;&gt;E27,"Y","N")</f>
        <v>N</v>
      </c>
    </row>
    <row r="28" customFormat="false" ht="12.8" hidden="true" customHeight="false" outlineLevel="0" collapsed="false">
      <c r="A28" s="2" t="n">
        <v>27</v>
      </c>
      <c r="B28" s="1" t="s">
        <v>38</v>
      </c>
      <c r="C28" s="2" t="n">
        <v>105190322</v>
      </c>
      <c r="D28" s="1" t="str">
        <f aca="false">VLOOKUP(B28,TS!$B$2:$D$99,2,0)</f>
        <v>R3</v>
      </c>
      <c r="E28" s="3" t="s">
        <v>2</v>
      </c>
      <c r="F28" s="1" t="str">
        <f aca="false">IF(D28&lt;&gt;E28,"Y","N")</f>
        <v>N</v>
      </c>
    </row>
    <row r="29" customFormat="false" ht="12.8" hidden="true" customHeight="false" outlineLevel="0" collapsed="false">
      <c r="A29" s="2" t="n">
        <v>28</v>
      </c>
      <c r="B29" s="2" t="s">
        <v>39</v>
      </c>
      <c r="C29" s="2" t="n">
        <v>103770917</v>
      </c>
      <c r="D29" s="1" t="str">
        <f aca="false">VLOOKUP(B29,TS!$B$2:$D$99,2,0)</f>
        <v>R3</v>
      </c>
      <c r="E29" s="3" t="s">
        <v>2</v>
      </c>
      <c r="F29" s="1" t="str">
        <f aca="false">IF(D29&lt;&gt;E29,"Y","N")</f>
        <v>N</v>
      </c>
    </row>
    <row r="30" customFormat="false" ht="12.8" hidden="true" customHeight="false" outlineLevel="0" collapsed="false">
      <c r="A30" s="2" t="n">
        <v>29</v>
      </c>
      <c r="B30" s="2" t="s">
        <v>40</v>
      </c>
      <c r="C30" s="2" t="n">
        <v>102583587</v>
      </c>
      <c r="D30" s="1" t="str">
        <f aca="false">VLOOKUP(B30,TS!$B$2:$D$99,2,0)</f>
        <v>R3</v>
      </c>
      <c r="E30" s="3" t="s">
        <v>2</v>
      </c>
      <c r="F30" s="1" t="str">
        <f aca="false">IF(D30&lt;&gt;E30,"Y","N")</f>
        <v>N</v>
      </c>
    </row>
    <row r="31" customFormat="false" ht="12.8" hidden="true" customHeight="false" outlineLevel="0" collapsed="false">
      <c r="A31" s="2" t="n">
        <v>30</v>
      </c>
      <c r="B31" s="2" t="s">
        <v>41</v>
      </c>
      <c r="C31" s="2" t="n">
        <v>101388152</v>
      </c>
      <c r="D31" s="1" t="str">
        <f aca="false">VLOOKUP(B31,TS!$B$2:$D$99,2,0)</f>
        <v>R3</v>
      </c>
      <c r="E31" s="3" t="s">
        <v>2</v>
      </c>
      <c r="F31" s="1" t="str">
        <f aca="false">IF(D31&lt;&gt;E31,"Y","N")</f>
        <v>N</v>
      </c>
    </row>
    <row r="32" customFormat="false" ht="12.8" hidden="true" customHeight="false" outlineLevel="0" collapsed="false">
      <c r="A32" s="2" t="n">
        <v>31</v>
      </c>
      <c r="B32" s="2" t="s">
        <v>42</v>
      </c>
      <c r="C32" s="2" t="n">
        <v>98421790</v>
      </c>
      <c r="D32" s="1" t="str">
        <f aca="false">VLOOKUP(B32,TS!$B$2:$D$99,2,0)</f>
        <v>R3</v>
      </c>
      <c r="E32" s="3" t="s">
        <v>2</v>
      </c>
      <c r="F32" s="1" t="str">
        <f aca="false">IF(D32&lt;&gt;E32,"Y","N")</f>
        <v>N</v>
      </c>
    </row>
    <row r="33" customFormat="false" ht="12.8" hidden="true" customHeight="false" outlineLevel="0" collapsed="false">
      <c r="A33" s="2" t="n">
        <v>32</v>
      </c>
      <c r="B33" s="2" t="s">
        <v>43</v>
      </c>
      <c r="C33" s="2" t="n">
        <v>96819064</v>
      </c>
      <c r="D33" s="1" t="str">
        <f aca="false">VLOOKUP(B33,TS!$B$2:$D$99,2,0)</f>
        <v>R4</v>
      </c>
      <c r="E33" s="3" t="s">
        <v>14</v>
      </c>
      <c r="F33" s="1" t="str">
        <f aca="false">IF(D33&lt;&gt;E33,"Y","N")</f>
        <v>N</v>
      </c>
    </row>
    <row r="34" customFormat="false" ht="12.8" hidden="true" customHeight="false" outlineLevel="0" collapsed="false">
      <c r="A34" s="2" t="n">
        <v>33</v>
      </c>
      <c r="B34" s="2" t="s">
        <v>44</v>
      </c>
      <c r="C34" s="2" t="n">
        <v>96418082</v>
      </c>
      <c r="D34" s="1" t="str">
        <f aca="false">VLOOKUP(B34,TS!$B$2:$D$99,2,0)</f>
        <v>R3</v>
      </c>
      <c r="E34" s="3" t="s">
        <v>2</v>
      </c>
      <c r="F34" s="1" t="str">
        <f aca="false">IF(D34&lt;&gt;E34,"Y","N")</f>
        <v>N</v>
      </c>
    </row>
    <row r="35" customFormat="false" ht="12.8" hidden="true" customHeight="false" outlineLevel="0" collapsed="false">
      <c r="A35" s="2" t="n">
        <v>34</v>
      </c>
      <c r="B35" s="2" t="s">
        <v>45</v>
      </c>
      <c r="C35" s="2" t="n">
        <v>94941220</v>
      </c>
      <c r="D35" s="1" t="str">
        <f aca="false">VLOOKUP(B35,TS!$B$2:$D$99,2,0)</f>
        <v>R3</v>
      </c>
      <c r="E35" s="3" t="s">
        <v>2</v>
      </c>
      <c r="F35" s="1" t="str">
        <f aca="false">IF(D35&lt;&gt;E35,"Y","N")</f>
        <v>N</v>
      </c>
      <c r="G35" s="1"/>
    </row>
    <row r="36" customFormat="false" ht="12.8" hidden="true" customHeight="false" outlineLevel="0" collapsed="false">
      <c r="A36" s="2" t="n">
        <v>35</v>
      </c>
      <c r="B36" s="2" t="s">
        <v>46</v>
      </c>
      <c r="C36" s="2" t="n">
        <v>93187209</v>
      </c>
      <c r="D36" s="1" t="str">
        <f aca="false">VLOOKUP(B36,TS!$B$2:$D$99,2,0)</f>
        <v>R3</v>
      </c>
      <c r="E36" s="3" t="s">
        <v>2</v>
      </c>
      <c r="F36" s="1" t="str">
        <f aca="false">IF(D36&lt;&gt;E36,"Y","N")</f>
        <v>N</v>
      </c>
    </row>
    <row r="37" customFormat="false" ht="12.8" hidden="true" customHeight="false" outlineLevel="0" collapsed="false">
      <c r="A37" s="2" t="n">
        <v>36</v>
      </c>
      <c r="B37" s="1" t="s">
        <v>47</v>
      </c>
      <c r="C37" s="2" t="n">
        <v>92530115</v>
      </c>
      <c r="D37" s="1" t="str">
        <f aca="false">VLOOKUP(B37,TS!$B$2:$D$99,2,0)</f>
        <v>R4</v>
      </c>
      <c r="E37" s="3" t="s">
        <v>14</v>
      </c>
      <c r="F37" s="1" t="str">
        <f aca="false">IF(D37&lt;&gt;E37,"Y","N")</f>
        <v>N</v>
      </c>
    </row>
    <row r="38" customFormat="false" ht="12.8" hidden="false" customHeight="false" outlineLevel="0" collapsed="false">
      <c r="A38" s="2" t="n">
        <v>37</v>
      </c>
      <c r="B38" s="5" t="s">
        <v>48</v>
      </c>
      <c r="C38" s="2" t="n">
        <v>89273088</v>
      </c>
      <c r="D38" s="1" t="str">
        <f aca="false">VLOOKUP(B38,TS!$B$2:$D$99,2,0)</f>
        <v>R2</v>
      </c>
      <c r="E38" s="3" t="s">
        <v>2</v>
      </c>
      <c r="F38" s="1" t="str">
        <f aca="false">IF(D38&lt;&gt;E38,"Y","N")</f>
        <v>Y</v>
      </c>
    </row>
    <row r="39" customFormat="false" ht="12.8" hidden="true" customHeight="false" outlineLevel="0" collapsed="false">
      <c r="A39" s="2" t="n">
        <v>38</v>
      </c>
      <c r="B39" s="2" t="s">
        <v>49</v>
      </c>
      <c r="C39" s="2" t="n">
        <v>86967891</v>
      </c>
      <c r="D39" s="1" t="str">
        <f aca="false">VLOOKUP(B39,TS!$B$2:$D$99,2,0)</f>
        <v>R3</v>
      </c>
      <c r="E39" s="3" t="s">
        <v>2</v>
      </c>
      <c r="F39" s="1" t="str">
        <f aca="false">IF(D39&lt;&gt;E39,"Y","N")</f>
        <v>N</v>
      </c>
    </row>
    <row r="40" customFormat="false" ht="12.8" hidden="true" customHeight="false" outlineLevel="0" collapsed="false">
      <c r="A40" s="2" t="n">
        <v>39</v>
      </c>
      <c r="B40" s="2" t="s">
        <v>50</v>
      </c>
      <c r="C40" s="2" t="n">
        <v>86474693</v>
      </c>
      <c r="D40" s="1" t="str">
        <f aca="false">VLOOKUP(B40,TS!$B$2:$D$99,2,0)</f>
        <v>R3</v>
      </c>
      <c r="E40" s="3" t="s">
        <v>2</v>
      </c>
      <c r="F40" s="1" t="str">
        <f aca="false">IF(D40&lt;&gt;E40,"Y","N")</f>
        <v>N</v>
      </c>
    </row>
    <row r="41" customFormat="false" ht="12.8" hidden="true" customHeight="false" outlineLevel="0" collapsed="false">
      <c r="A41" s="2" t="n">
        <v>40</v>
      </c>
      <c r="B41" s="2" t="s">
        <v>51</v>
      </c>
      <c r="C41" s="2" t="n">
        <v>86381792</v>
      </c>
      <c r="D41" s="1" t="str">
        <f aca="false">VLOOKUP(B41,TS!$B$2:$D$99,2,0)</f>
        <v>R3</v>
      </c>
      <c r="E41" s="3" t="s">
        <v>2</v>
      </c>
      <c r="F41" s="1" t="str">
        <f aca="false">IF(D41&lt;&gt;E41,"Y","N")</f>
        <v>N</v>
      </c>
    </row>
    <row r="42" customFormat="false" ht="12.8" hidden="true" customHeight="false" outlineLevel="0" collapsed="false">
      <c r="A42" s="2" t="n">
        <v>41</v>
      </c>
      <c r="B42" s="2" t="s">
        <v>52</v>
      </c>
      <c r="C42" s="2" t="n">
        <v>86195382</v>
      </c>
      <c r="D42" s="1" t="str">
        <f aca="false">VLOOKUP(B42,TS!$B$2:$D$99,2,0)</f>
        <v>R3</v>
      </c>
      <c r="E42" s="3" t="s">
        <v>2</v>
      </c>
      <c r="F42" s="1" t="str">
        <f aca="false">IF(D42&lt;&gt;E42,"Y","N")</f>
        <v>N</v>
      </c>
    </row>
    <row r="43" customFormat="false" ht="12.8" hidden="true" customHeight="false" outlineLevel="0" collapsed="false">
      <c r="A43" s="2" t="n">
        <v>42</v>
      </c>
      <c r="B43" s="2" t="s">
        <v>53</v>
      </c>
      <c r="C43" s="2" t="n">
        <v>84720435</v>
      </c>
      <c r="D43" s="1" t="str">
        <f aca="false">VLOOKUP(B43,TS!$B$2:$D$99,2,0)</f>
        <v>R3</v>
      </c>
      <c r="E43" s="3" t="s">
        <v>2</v>
      </c>
      <c r="F43" s="1" t="str">
        <f aca="false">IF(D43&lt;&gt;E43,"Y","N")</f>
        <v>N</v>
      </c>
    </row>
    <row r="44" customFormat="false" ht="12.8" hidden="true" customHeight="false" outlineLevel="0" collapsed="false">
      <c r="A44" s="2" t="n">
        <v>43</v>
      </c>
      <c r="B44" s="2" t="s">
        <v>54</v>
      </c>
      <c r="C44" s="2" t="n">
        <v>82428516</v>
      </c>
      <c r="D44" s="1" t="str">
        <f aca="false">VLOOKUP(B44,TS!$B$2:$D$99,2,0)</f>
        <v>R3</v>
      </c>
      <c r="E44" s="3" t="s">
        <v>2</v>
      </c>
      <c r="F44" s="1" t="str">
        <f aca="false">IF(D44&lt;&gt;E44,"Y","N")</f>
        <v>N</v>
      </c>
    </row>
    <row r="45" customFormat="false" ht="12.8" hidden="true" customHeight="false" outlineLevel="0" collapsed="false">
      <c r="A45" s="2" t="n">
        <v>44</v>
      </c>
      <c r="B45" s="2" t="s">
        <v>55</v>
      </c>
      <c r="C45" s="2" t="n">
        <v>82245847</v>
      </c>
      <c r="D45" s="1" t="str">
        <f aca="false">VLOOKUP(B45,TS!$B$2:$D$99,2,0)</f>
        <v>R3</v>
      </c>
      <c r="E45" s="3" t="s">
        <v>2</v>
      </c>
      <c r="F45" s="1" t="str">
        <f aca="false">IF(D45&lt;&gt;E45,"Y","N")</f>
        <v>N</v>
      </c>
    </row>
    <row r="46" customFormat="false" ht="12.8" hidden="true" customHeight="false" outlineLevel="0" collapsed="false">
      <c r="A46" s="2" t="n">
        <v>45</v>
      </c>
      <c r="B46" s="2" t="s">
        <v>56</v>
      </c>
      <c r="C46" s="2" t="n">
        <v>80082837</v>
      </c>
      <c r="D46" s="1" t="str">
        <f aca="false">VLOOKUP(B46,TS!$B$2:$D$99,2,0)</f>
        <v>R3</v>
      </c>
      <c r="E46" s="3" t="s">
        <v>2</v>
      </c>
      <c r="F46" s="1" t="str">
        <f aca="false">IF(D46&lt;&gt;E46,"Y","N")</f>
        <v>N</v>
      </c>
    </row>
    <row r="47" customFormat="false" ht="12.8" hidden="true" customHeight="false" outlineLevel="0" collapsed="false">
      <c r="A47" s="2" t="n">
        <v>46</v>
      </c>
      <c r="B47" s="4" t="s">
        <v>57</v>
      </c>
      <c r="C47" s="2" t="n">
        <v>79450694</v>
      </c>
      <c r="D47" s="1" t="str">
        <f aca="false">VLOOKUP(B47,TS!$B$2:$D$99,2,0)</f>
        <v>R3</v>
      </c>
      <c r="E47" s="3" t="s">
        <v>2</v>
      </c>
      <c r="F47" s="1" t="str">
        <f aca="false">IF(D47&lt;&gt;E47,"Y","N")</f>
        <v>N</v>
      </c>
    </row>
    <row r="48" customFormat="false" ht="12.8" hidden="true" customHeight="false" outlineLevel="0" collapsed="false">
      <c r="A48" s="2" t="n">
        <v>47</v>
      </c>
      <c r="B48" s="2" t="s">
        <v>58</v>
      </c>
      <c r="C48" s="2" t="n">
        <v>78251474</v>
      </c>
      <c r="D48" s="1" t="str">
        <f aca="false">VLOOKUP(B48,TS!$B$2:$D$99,2,0)</f>
        <v>R5</v>
      </c>
      <c r="E48" s="3" t="s">
        <v>59</v>
      </c>
      <c r="F48" s="1" t="str">
        <f aca="false">IF(D48&lt;&gt;E48,"Y","N")</f>
        <v>N</v>
      </c>
    </row>
    <row r="49" customFormat="false" ht="12.8" hidden="true" customHeight="false" outlineLevel="0" collapsed="false">
      <c r="A49" s="2" t="n">
        <v>48</v>
      </c>
      <c r="B49" s="2" t="s">
        <v>60</v>
      </c>
      <c r="C49" s="2" t="n">
        <v>77431454</v>
      </c>
      <c r="D49" s="1" t="str">
        <f aca="false">VLOOKUP(B49,TS!$B$2:$D$99,2,0)</f>
        <v>R3</v>
      </c>
      <c r="E49" s="3" t="s">
        <v>2</v>
      </c>
      <c r="F49" s="1" t="str">
        <f aca="false">IF(D49&lt;&gt;E49,"Y","N")</f>
        <v>N</v>
      </c>
    </row>
    <row r="50" customFormat="false" ht="12.8" hidden="true" customHeight="false" outlineLevel="0" collapsed="false">
      <c r="A50" s="2" t="n">
        <v>49</v>
      </c>
      <c r="B50" s="2" t="s">
        <v>61</v>
      </c>
      <c r="C50" s="2" t="n">
        <v>76570764</v>
      </c>
      <c r="D50" s="1" t="str">
        <f aca="false">VLOOKUP(B50,TS!$B$2:$D$99,2,0)</f>
        <v>R3</v>
      </c>
      <c r="E50" s="3" t="s">
        <v>2</v>
      </c>
      <c r="F50" s="1" t="str">
        <f aca="false">IF(D50&lt;&gt;E50,"Y","N")</f>
        <v>N</v>
      </c>
    </row>
    <row r="51" customFormat="false" ht="12.8" hidden="true" customHeight="false" outlineLevel="0" collapsed="false">
      <c r="A51" s="2" t="n">
        <v>50</v>
      </c>
      <c r="B51" s="2" t="s">
        <v>62</v>
      </c>
      <c r="C51" s="2" t="n">
        <v>74788687</v>
      </c>
      <c r="D51" s="1" t="str">
        <f aca="false">VLOOKUP(B51,TS!$B$2:$D$99,2,0)</f>
        <v>R3</v>
      </c>
      <c r="E51" s="3" t="s">
        <v>2</v>
      </c>
      <c r="F51" s="1" t="str">
        <f aca="false">IF(D51&lt;&gt;E51,"Y","N")</f>
        <v>N</v>
      </c>
      <c r="G51" s="2"/>
    </row>
    <row r="52" customFormat="false" ht="12.8" hidden="true" customHeight="false" outlineLevel="0" collapsed="false">
      <c r="A52" s="2" t="n">
        <v>51</v>
      </c>
      <c r="B52" s="2" t="s">
        <v>63</v>
      </c>
      <c r="C52" s="2" t="n">
        <v>70439600</v>
      </c>
      <c r="D52" s="1" t="str">
        <f aca="false">VLOOKUP(B52,TS!$B$2:$D$99,2,0)</f>
        <v>R3</v>
      </c>
      <c r="E52" s="3" t="s">
        <v>2</v>
      </c>
      <c r="F52" s="1" t="str">
        <f aca="false">IF(D52&lt;&gt;E52,"Y","N")</f>
        <v>N</v>
      </c>
    </row>
    <row r="53" customFormat="false" ht="12.8" hidden="true" customHeight="false" outlineLevel="0" collapsed="false">
      <c r="A53" s="2" t="n">
        <v>52</v>
      </c>
      <c r="B53" s="2" t="s">
        <v>64</v>
      </c>
      <c r="C53" s="2" t="n">
        <v>70290459</v>
      </c>
      <c r="D53" s="1" t="str">
        <f aca="false">VLOOKUP(B53,TS!$B$2:$D$99,2,0)</f>
        <v>R3</v>
      </c>
      <c r="E53" s="3" t="s">
        <v>2</v>
      </c>
      <c r="F53" s="1" t="str">
        <f aca="false">IF(D53&lt;&gt;E53,"Y","N")</f>
        <v>N</v>
      </c>
    </row>
    <row r="54" customFormat="false" ht="12.8" hidden="true" customHeight="false" outlineLevel="0" collapsed="false">
      <c r="A54" s="2" t="n">
        <v>53</v>
      </c>
      <c r="B54" s="2" t="s">
        <v>65</v>
      </c>
      <c r="C54" s="2" t="n">
        <v>69999280</v>
      </c>
      <c r="D54" s="1" t="str">
        <f aca="false">VLOOKUP(B54,TS!$B$2:$D$99,2,0)</f>
        <v>R3</v>
      </c>
      <c r="E54" s="3" t="s">
        <v>2</v>
      </c>
      <c r="F54" s="1" t="str">
        <f aca="false">IF(D54&lt;&gt;E54,"Y","N")</f>
        <v>N</v>
      </c>
    </row>
    <row r="55" customFormat="false" ht="12.8" hidden="true" customHeight="false" outlineLevel="0" collapsed="false">
      <c r="A55" s="2" t="n">
        <v>54</v>
      </c>
      <c r="B55" s="2" t="s">
        <v>66</v>
      </c>
      <c r="C55" s="2" t="n">
        <v>69607820</v>
      </c>
      <c r="D55" s="1" t="str">
        <f aca="false">VLOOKUP(B55,TS!$B$2:$D$99,2,0)</f>
        <v>R3</v>
      </c>
      <c r="E55" s="3" t="s">
        <v>2</v>
      </c>
      <c r="F55" s="1" t="str">
        <f aca="false">IF(D55&lt;&gt;E55,"Y","N")</f>
        <v>N</v>
      </c>
    </row>
    <row r="56" customFormat="false" ht="12.8" hidden="true" customHeight="false" outlineLevel="0" collapsed="false">
      <c r="A56" s="2" t="n">
        <v>55</v>
      </c>
      <c r="B56" s="2" t="s">
        <v>67</v>
      </c>
      <c r="C56" s="2" t="n">
        <v>69554989</v>
      </c>
      <c r="D56" s="1" t="s">
        <v>68</v>
      </c>
      <c r="E56" s="3" t="s">
        <v>68</v>
      </c>
      <c r="F56" s="1" t="str">
        <f aca="false">IF(D56&lt;&gt;E56,"Y","N")</f>
        <v>N</v>
      </c>
    </row>
    <row r="57" customFormat="false" ht="12.8" hidden="true" customHeight="false" outlineLevel="0" collapsed="false">
      <c r="A57" s="2" t="n">
        <v>56</v>
      </c>
      <c r="B57" s="2" t="s">
        <v>69</v>
      </c>
      <c r="C57" s="2" t="n">
        <v>69525125</v>
      </c>
      <c r="D57" s="1" t="str">
        <f aca="false">VLOOKUP(B57,TS!$B$2:$D$99,2,0)</f>
        <v>R3</v>
      </c>
      <c r="E57" s="3" t="s">
        <v>2</v>
      </c>
      <c r="F57" s="1" t="str">
        <f aca="false">IF(D57&lt;&gt;E57,"Y","N")</f>
        <v>N</v>
      </c>
    </row>
    <row r="58" customFormat="false" ht="12.8" hidden="false" customHeight="false" outlineLevel="0" collapsed="false">
      <c r="A58" s="2" t="n">
        <v>57</v>
      </c>
      <c r="B58" s="2" t="s">
        <v>70</v>
      </c>
      <c r="C58" s="2" t="n">
        <v>67408514</v>
      </c>
      <c r="D58" s="1" t="str">
        <f aca="false">VLOOKUP(B58,TS!$B$2:$D$99,2,0)</f>
        <v>R2</v>
      </c>
      <c r="E58" s="3" t="s">
        <v>2</v>
      </c>
      <c r="F58" s="1" t="str">
        <f aca="false">IF(D58&lt;&gt;E58,"Y","N")</f>
        <v>Y</v>
      </c>
    </row>
    <row r="59" customFormat="false" ht="12.8" hidden="true" customHeight="false" outlineLevel="0" collapsed="false">
      <c r="A59" s="2" t="n">
        <v>58</v>
      </c>
      <c r="B59" s="2" t="s">
        <v>71</v>
      </c>
      <c r="C59" s="2" t="n">
        <v>66730297</v>
      </c>
      <c r="D59" s="1" t="str">
        <f aca="false">VLOOKUP(B59,TS!$B$2:$D$99,2,0)</f>
        <v>R3</v>
      </c>
      <c r="E59" s="3" t="s">
        <v>2</v>
      </c>
      <c r="F59" s="1" t="str">
        <f aca="false">IF(D59&lt;&gt;E59,"Y","N")</f>
        <v>N</v>
      </c>
    </row>
    <row r="60" customFormat="false" ht="12.8" hidden="true" customHeight="false" outlineLevel="0" collapsed="false">
      <c r="A60" s="2" t="n">
        <v>59</v>
      </c>
      <c r="B60" s="2" t="s">
        <v>72</v>
      </c>
      <c r="C60" s="2" t="n">
        <v>65030383</v>
      </c>
      <c r="D60" s="1" t="str">
        <f aca="false">VLOOKUP(B60,TS!$B$2:$D$99,2,0)</f>
        <v>R3</v>
      </c>
      <c r="E60" s="3" t="s">
        <v>2</v>
      </c>
      <c r="F60" s="1" t="str">
        <f aca="false">IF(D60&lt;&gt;E60,"Y","N")</f>
        <v>N</v>
      </c>
    </row>
    <row r="61" customFormat="false" ht="12.8" hidden="true" customHeight="false" outlineLevel="0" collapsed="false">
      <c r="A61" s="2" t="n">
        <v>60</v>
      </c>
      <c r="B61" s="2" t="s">
        <v>73</v>
      </c>
      <c r="C61" s="2" t="n">
        <v>63863426</v>
      </c>
      <c r="D61" s="1" t="str">
        <f aca="false">VLOOKUP(B61,TS!$B$2:$D$99,2,0)</f>
        <v>R3</v>
      </c>
      <c r="E61" s="3" t="s">
        <v>2</v>
      </c>
      <c r="F61" s="1" t="str">
        <f aca="false">IF(D61&lt;&gt;E61,"Y","N")</f>
        <v>N</v>
      </c>
    </row>
    <row r="62" customFormat="false" ht="12.8" hidden="false" customHeight="false" outlineLevel="0" collapsed="false">
      <c r="A62" s="2" t="n">
        <v>61</v>
      </c>
      <c r="B62" s="2" t="s">
        <v>74</v>
      </c>
      <c r="C62" s="2" t="n">
        <v>62685489</v>
      </c>
      <c r="D62" s="1" t="str">
        <f aca="false">VLOOKUP(B62,TS!$B$2:$D$99,2,0)</f>
        <v>R1</v>
      </c>
      <c r="E62" s="3" t="s">
        <v>2</v>
      </c>
      <c r="F62" s="1" t="str">
        <f aca="false">IF(D62&lt;&gt;E62,"Y","N")</f>
        <v>Y</v>
      </c>
    </row>
    <row r="63" customFormat="false" ht="12.8" hidden="false" customHeight="false" outlineLevel="0" collapsed="false">
      <c r="A63" s="2" t="n">
        <v>62</v>
      </c>
      <c r="B63" s="2" t="s">
        <v>75</v>
      </c>
      <c r="C63" s="2" t="n">
        <v>61053696</v>
      </c>
      <c r="D63" s="1" t="str">
        <f aca="false">VLOOKUP(B63,TS!$B$2:$D$99,2,0)</f>
        <v>R2</v>
      </c>
      <c r="E63" s="3" t="s">
        <v>2</v>
      </c>
      <c r="F63" s="1" t="str">
        <f aca="false">IF(D63&lt;&gt;E63,"Y","N")</f>
        <v>Y</v>
      </c>
    </row>
    <row r="64" customFormat="false" ht="12.8" hidden="true" customHeight="false" outlineLevel="0" collapsed="false">
      <c r="A64" s="2" t="n">
        <v>63</v>
      </c>
      <c r="B64" s="2" t="s">
        <v>76</v>
      </c>
      <c r="C64" s="2" t="n">
        <v>60716292</v>
      </c>
      <c r="D64" s="1" t="str">
        <f aca="false">VLOOKUP(B64,TS!$B$2:$D$99,2,0)</f>
        <v>R3</v>
      </c>
      <c r="E64" s="3" t="s">
        <v>2</v>
      </c>
      <c r="F64" s="1" t="str">
        <f aca="false">IF(D64&lt;&gt;E64,"Y","N")</f>
        <v>N</v>
      </c>
    </row>
    <row r="65" customFormat="false" ht="14.9" hidden="false" customHeight="false" outlineLevel="0" collapsed="false">
      <c r="A65" s="2" t="n">
        <v>64</v>
      </c>
      <c r="B65" s="1" t="s">
        <v>77</v>
      </c>
      <c r="C65" s="2" t="n">
        <v>60193675</v>
      </c>
      <c r="D65" s="1" t="str">
        <f aca="false">VLOOKUP(B65,TS!$B$2:$D$99,2,0)</f>
        <v>R2</v>
      </c>
      <c r="E65" s="3" t="s">
        <v>2</v>
      </c>
      <c r="F65" s="1" t="str">
        <f aca="false">IF(D65&lt;&gt;E65,"Y","N")</f>
        <v>Y</v>
      </c>
    </row>
    <row r="66" customFormat="false" ht="12.8" hidden="true" customHeight="false" outlineLevel="0" collapsed="false">
      <c r="A66" s="2" t="n">
        <v>65</v>
      </c>
      <c r="B66" s="2" t="s">
        <v>78</v>
      </c>
      <c r="C66" s="2" t="n">
        <v>58763879</v>
      </c>
      <c r="D66" s="1" t="str">
        <f aca="false">VLOOKUP(B66,TS!$B$2:$D$99,2,0)</f>
        <v>R3</v>
      </c>
      <c r="E66" s="3" t="s">
        <v>2</v>
      </c>
      <c r="F66" s="1" t="str">
        <f aca="false">IF(D66&lt;&gt;E66,"Y","N")</f>
        <v>N</v>
      </c>
    </row>
    <row r="67" customFormat="false" ht="12.8" hidden="true" customHeight="false" outlineLevel="0" collapsed="false">
      <c r="A67" s="2" t="n">
        <v>66</v>
      </c>
      <c r="B67" s="4" t="s">
        <v>79</v>
      </c>
      <c r="C67" s="2" t="n">
        <v>57736248</v>
      </c>
      <c r="D67" s="1" t="str">
        <f aca="false">VLOOKUP(B67,TS!$B$2:$D$99,2,0)</f>
        <v>R3</v>
      </c>
      <c r="E67" s="3" t="s">
        <v>2</v>
      </c>
      <c r="F67" s="1" t="str">
        <f aca="false">IF(D67&lt;&gt;E67,"Y","N")</f>
        <v>N</v>
      </c>
    </row>
    <row r="68" customFormat="false" ht="12.8" hidden="false" customHeight="false" outlineLevel="0" collapsed="false">
      <c r="A68" s="2" t="n">
        <v>67</v>
      </c>
      <c r="B68" s="2" t="s">
        <v>80</v>
      </c>
      <c r="C68" s="2" t="n">
        <v>56219825</v>
      </c>
      <c r="D68" s="1" t="str">
        <f aca="false">VLOOKUP(B68,TS!$B$2:$D$99,2,0)</f>
        <v>R2</v>
      </c>
      <c r="E68" s="3" t="s">
        <v>2</v>
      </c>
      <c r="F68" s="1" t="str">
        <f aca="false">IF(D68&lt;&gt;E68,"Y","N")</f>
        <v>Y</v>
      </c>
    </row>
    <row r="69" customFormat="false" ht="12.8" hidden="true" customHeight="false" outlineLevel="0" collapsed="false">
      <c r="A69" s="2" t="n">
        <v>68</v>
      </c>
      <c r="B69" s="2" t="s">
        <v>81</v>
      </c>
      <c r="C69" s="2" t="n">
        <v>55494641</v>
      </c>
      <c r="D69" s="1" t="str">
        <f aca="false">VLOOKUP(B69,TS!$B$2:$D$99,2,0)</f>
        <v>R3</v>
      </c>
      <c r="E69" s="3" t="s">
        <v>2</v>
      </c>
      <c r="F69" s="1" t="str">
        <f aca="false">IF(D69&lt;&gt;E69,"Y","N")</f>
        <v>N</v>
      </c>
    </row>
    <row r="70" customFormat="false" ht="12.8" hidden="false" customHeight="false" outlineLevel="0" collapsed="false">
      <c r="A70" s="2" t="n">
        <v>69</v>
      </c>
      <c r="B70" s="4" t="s">
        <v>82</v>
      </c>
      <c r="C70" s="2" t="n">
        <v>53091757</v>
      </c>
      <c r="D70" s="1" t="str">
        <f aca="false">VLOOKUP(B70,TS!$B$2:$D$99,2,0)</f>
        <v>R3</v>
      </c>
      <c r="E70" s="6" t="s">
        <v>1</v>
      </c>
      <c r="F70" s="1" t="str">
        <f aca="false">IF(D70&lt;&gt;E70,"Y","N")</f>
        <v>Y</v>
      </c>
    </row>
    <row r="71" customFormat="false" ht="12.8" hidden="true" customHeight="false" outlineLevel="0" collapsed="false">
      <c r="A71" s="2" t="n">
        <v>70</v>
      </c>
      <c r="B71" s="2" t="s">
        <v>83</v>
      </c>
      <c r="C71" s="2" t="n">
        <v>52449476</v>
      </c>
      <c r="D71" s="1" t="str">
        <f aca="false">VLOOKUP(B71,TS!$B$2:$D$99,2,0)</f>
        <v>R2</v>
      </c>
      <c r="E71" s="6" t="s">
        <v>1</v>
      </c>
      <c r="F71" s="1" t="str">
        <f aca="false">IF(D71&lt;&gt;E71,"Y","N")</f>
        <v>N</v>
      </c>
      <c r="G71" s="1"/>
    </row>
    <row r="72" customFormat="false" ht="12.8" hidden="false" customHeight="false" outlineLevel="0" collapsed="false">
      <c r="A72" s="2" t="n">
        <v>71</v>
      </c>
      <c r="B72" s="4" t="s">
        <v>84</v>
      </c>
      <c r="C72" s="2" t="n">
        <v>51270547</v>
      </c>
      <c r="D72" s="1" t="str">
        <f aca="false">VLOOKUP(B72,TS!$B$2:$D$99,2,0)</f>
        <v>R3</v>
      </c>
      <c r="E72" s="6" t="s">
        <v>1</v>
      </c>
      <c r="F72" s="1" t="str">
        <f aca="false">IF(D72&lt;&gt;E72,"Y","N")</f>
        <v>Y</v>
      </c>
    </row>
    <row r="73" customFormat="false" ht="12.8" hidden="false" customHeight="false" outlineLevel="0" collapsed="false">
      <c r="A73" s="2" t="n">
        <v>72</v>
      </c>
      <c r="B73" s="2" t="s">
        <v>85</v>
      </c>
      <c r="C73" s="2" t="n">
        <v>49826829</v>
      </c>
      <c r="D73" s="1" t="str">
        <f aca="false">VLOOKUP(B73,TS!$B$2:$D$99,2,0)</f>
        <v>R3</v>
      </c>
      <c r="E73" s="6" t="s">
        <v>1</v>
      </c>
      <c r="F73" s="1" t="str">
        <f aca="false">IF(D73&lt;&gt;E73,"Y","N")</f>
        <v>Y</v>
      </c>
    </row>
    <row r="74" customFormat="false" ht="12.8" hidden="false" customHeight="false" outlineLevel="0" collapsed="false">
      <c r="A74" s="2" t="n">
        <v>73</v>
      </c>
      <c r="B74" s="2" t="s">
        <v>86</v>
      </c>
      <c r="C74" s="2" t="n">
        <v>49594995</v>
      </c>
      <c r="D74" s="1" t="str">
        <f aca="false">VLOOKUP(B74,TS!$B$2:$D$99,2,0)</f>
        <v>R3</v>
      </c>
      <c r="E74" s="6" t="s">
        <v>1</v>
      </c>
      <c r="F74" s="1" t="str">
        <f aca="false">IF(D74&lt;&gt;E74,"Y","N")</f>
        <v>Y</v>
      </c>
    </row>
    <row r="75" customFormat="false" ht="12.8" hidden="true" customHeight="false" outlineLevel="0" collapsed="false">
      <c r="A75" s="2" t="n">
        <v>74</v>
      </c>
      <c r="B75" s="2" t="s">
        <v>87</v>
      </c>
      <c r="C75" s="2" t="n">
        <v>49471743</v>
      </c>
      <c r="D75" s="1" t="str">
        <f aca="false">VLOOKUP(B75,TS!$B$2:$D$99,2,0)</f>
        <v>R2</v>
      </c>
      <c r="E75" s="6" t="s">
        <v>1</v>
      </c>
      <c r="F75" s="1" t="str">
        <f aca="false">IF(D75&lt;&gt;E75,"Y","N")</f>
        <v>N</v>
      </c>
    </row>
    <row r="76" customFormat="false" ht="12.8" hidden="true" customHeight="false" outlineLevel="0" collapsed="false">
      <c r="A76" s="2" t="n">
        <v>75</v>
      </c>
      <c r="B76" s="2" t="s">
        <v>88</v>
      </c>
      <c r="C76" s="2" t="n">
        <v>48906077</v>
      </c>
      <c r="D76" s="1" t="str">
        <f aca="false">VLOOKUP(B76,TS!$B$2:$D$99,2,0)</f>
        <v>R2</v>
      </c>
      <c r="E76" s="6" t="s">
        <v>1</v>
      </c>
      <c r="F76" s="1" t="str">
        <f aca="false">IF(D76&lt;&gt;E76,"Y","N")</f>
        <v>N</v>
      </c>
    </row>
    <row r="77" customFormat="false" ht="12.8" hidden="true" customHeight="false" outlineLevel="0" collapsed="false">
      <c r="A77" s="2" t="n">
        <v>76</v>
      </c>
      <c r="B77" s="2" t="s">
        <v>89</v>
      </c>
      <c r="C77" s="2" t="n">
        <v>47501986</v>
      </c>
      <c r="D77" s="1" t="str">
        <f aca="false">VLOOKUP(B77,TS!$B$2:$D$99,2,0)</f>
        <v>R2</v>
      </c>
      <c r="E77" s="6" t="s">
        <v>1</v>
      </c>
      <c r="F77" s="1" t="str">
        <f aca="false">IF(D77&lt;&gt;E77,"Y","N")</f>
        <v>N</v>
      </c>
      <c r="G77" s="2"/>
    </row>
    <row r="78" customFormat="false" ht="12.8" hidden="true" customHeight="false" outlineLevel="0" collapsed="false">
      <c r="A78" s="2" t="n">
        <v>77</v>
      </c>
      <c r="B78" s="2" t="s">
        <v>90</v>
      </c>
      <c r="C78" s="2" t="n">
        <v>46848917</v>
      </c>
      <c r="D78" s="1" t="str">
        <f aca="false">VLOOKUP(B78,TS!$B$2:$D$99,2,0)</f>
        <v>R2</v>
      </c>
      <c r="E78" s="6" t="s">
        <v>1</v>
      </c>
      <c r="F78" s="1" t="str">
        <f aca="false">IF(D78&lt;&gt;E78,"Y","N")</f>
        <v>N</v>
      </c>
    </row>
    <row r="79" customFormat="false" ht="12.8" hidden="false" customHeight="false" outlineLevel="0" collapsed="false">
      <c r="A79" s="2" t="n">
        <v>78</v>
      </c>
      <c r="B79" s="2" t="s">
        <v>91</v>
      </c>
      <c r="C79" s="2" t="n">
        <v>44935380</v>
      </c>
      <c r="D79" s="1" t="str">
        <f aca="false">VLOOKUP(B79,TS!$B$2:$D$99,2,0)</f>
        <v>R3</v>
      </c>
      <c r="E79" s="6" t="s">
        <v>1</v>
      </c>
      <c r="F79" s="1" t="str">
        <f aca="false">IF(D79&lt;&gt;E79,"Y","N")</f>
        <v>Y</v>
      </c>
    </row>
    <row r="80" customFormat="false" ht="12.8" hidden="true" customHeight="false" outlineLevel="0" collapsed="false">
      <c r="A80" s="2" t="n">
        <v>79</v>
      </c>
      <c r="B80" s="2" t="s">
        <v>92</v>
      </c>
      <c r="C80" s="2" t="n">
        <v>44007617</v>
      </c>
      <c r="D80" s="1" t="str">
        <f aca="false">VLOOKUP(B80,TS!$B$2:$D$99,2,0)</f>
        <v>R2</v>
      </c>
      <c r="E80" s="6" t="s">
        <v>1</v>
      </c>
      <c r="F80" s="1" t="str">
        <f aca="false">IF(D80&lt;&gt;E80,"Y","N")</f>
        <v>N</v>
      </c>
    </row>
    <row r="81" customFormat="false" ht="12.8" hidden="false" customHeight="false" outlineLevel="0" collapsed="false">
      <c r="A81" s="2" t="n">
        <v>80</v>
      </c>
      <c r="B81" s="2" t="s">
        <v>93</v>
      </c>
      <c r="C81" s="2" t="n">
        <v>43948639</v>
      </c>
      <c r="D81" s="1" t="str">
        <f aca="false">VLOOKUP(B81,TS!$B$2:$D$99,2,0)</f>
        <v>R1</v>
      </c>
      <c r="E81" s="6" t="s">
        <v>1</v>
      </c>
      <c r="F81" s="1" t="str">
        <f aca="false">IF(D81&lt;&gt;E81,"Y","N")</f>
        <v>Y</v>
      </c>
    </row>
    <row r="82" customFormat="false" ht="12.8" hidden="false" customHeight="false" outlineLevel="0" collapsed="false">
      <c r="A82" s="2" t="n">
        <v>81</v>
      </c>
      <c r="B82" s="2" t="s">
        <v>94</v>
      </c>
      <c r="C82" s="2" t="n">
        <v>39413086</v>
      </c>
      <c r="D82" s="1" t="str">
        <f aca="false">VLOOKUP(B82,TS!$B$2:$D$99,2,0)</f>
        <v>R2</v>
      </c>
      <c r="E82" s="7" t="s">
        <v>95</v>
      </c>
      <c r="F82" s="1" t="str">
        <f aca="false">IF(D82&lt;&gt;E82,"Y","N")</f>
        <v>Y</v>
      </c>
    </row>
    <row r="83" customFormat="false" ht="12.8" hidden="true" customHeight="false" outlineLevel="0" collapsed="false">
      <c r="A83" s="2" t="n">
        <v>82</v>
      </c>
      <c r="B83" s="2" t="s">
        <v>96</v>
      </c>
      <c r="C83" s="2" t="n">
        <v>34072755</v>
      </c>
      <c r="D83" s="1" t="str">
        <f aca="false">VLOOKUP(B83,TS!$B$2:$D$99,2,0)</f>
        <v>R1</v>
      </c>
      <c r="E83" s="7" t="s">
        <v>95</v>
      </c>
      <c r="F83" s="1" t="str">
        <f aca="false">IF(D83&lt;&gt;E83,"Y","N")</f>
        <v>N</v>
      </c>
      <c r="G83" s="2"/>
    </row>
    <row r="84" customFormat="false" ht="12.8" hidden="true" customHeight="false" outlineLevel="0" collapsed="false">
      <c r="A84" s="2" t="n">
        <v>83</v>
      </c>
      <c r="B84" s="2" t="s">
        <v>97</v>
      </c>
      <c r="C84" s="2" t="n">
        <v>33242288</v>
      </c>
      <c r="D84" s="1" t="str">
        <f aca="false">VLOOKUP(B84,TS!$B$2:$D$99,2,0)</f>
        <v>R1</v>
      </c>
      <c r="E84" s="7" t="s">
        <v>95</v>
      </c>
      <c r="F84" s="1" t="str">
        <f aca="false">IF(D84&lt;&gt;E84,"Y","N")</f>
        <v>N</v>
      </c>
    </row>
    <row r="85" customFormat="false" ht="12.8" hidden="false" customHeight="false" outlineLevel="0" collapsed="false">
      <c r="A85" s="2" t="n">
        <v>84</v>
      </c>
      <c r="B85" s="2" t="s">
        <v>98</v>
      </c>
      <c r="C85" s="2" t="n">
        <v>30214283</v>
      </c>
      <c r="D85" s="1" t="str">
        <f aca="false">VLOOKUP(B85,TS!$B$2:$D$99,2,0)</f>
        <v>R2</v>
      </c>
      <c r="E85" s="7" t="s">
        <v>95</v>
      </c>
      <c r="F85" s="1" t="str">
        <f aca="false">IF(D85&lt;&gt;E85,"Y","N")</f>
        <v>Y</v>
      </c>
      <c r="G85" s="1"/>
    </row>
    <row r="86" customFormat="false" ht="12.8" hidden="false" customHeight="false" outlineLevel="0" collapsed="false">
      <c r="A86" s="2" t="n">
        <v>85</v>
      </c>
      <c r="B86" s="2" t="s">
        <v>99</v>
      </c>
      <c r="C86" s="2" t="n">
        <v>9960900</v>
      </c>
      <c r="D86" s="1" t="str">
        <f aca="false">VLOOKUP(B86,TS!$B$2:$D$99,2,0)</f>
        <v>R2</v>
      </c>
      <c r="E86" s="7" t="s">
        <v>95</v>
      </c>
      <c r="F86" s="1" t="str">
        <f aca="false">IF(D86&lt;&gt;E86,"Y","N")</f>
        <v>Y</v>
      </c>
    </row>
    <row r="87" customFormat="false" ht="12.8" hidden="true" customHeight="false" outlineLevel="0" collapsed="false">
      <c r="A87" s="2" t="n">
        <v>86</v>
      </c>
      <c r="B87" s="1" t="s">
        <v>100</v>
      </c>
      <c r="C87" s="2" t="n">
        <v>36214</v>
      </c>
      <c r="D87" s="1" t="s">
        <v>68</v>
      </c>
      <c r="E87" s="7" t="s">
        <v>68</v>
      </c>
      <c r="F87" s="1" t="str">
        <f aca="false">IF(D87&lt;&gt;E87,"Y","N")</f>
        <v>N</v>
      </c>
    </row>
    <row r="88" customFormat="false" ht="12.8" hidden="true" customHeight="false" outlineLevel="0" collapsed="false">
      <c r="A88" s="2" t="n">
        <v>0</v>
      </c>
      <c r="B88" s="1" t="s">
        <v>101</v>
      </c>
      <c r="C88" s="2" t="n">
        <v>0</v>
      </c>
      <c r="D88" s="1" t="str">
        <f aca="false">VLOOKUP(B88,TS!$B$2:$D$99,2,0)</f>
        <v>R2</v>
      </c>
      <c r="E88" s="7" t="s">
        <v>1</v>
      </c>
      <c r="F88" s="1" t="str">
        <f aca="false">IF(D88&lt;&gt;E88,"Y","N")</f>
        <v>N</v>
      </c>
      <c r="G88" s="0" t="s">
        <v>102</v>
      </c>
    </row>
    <row r="89" customFormat="false" ht="12.8" hidden="true" customHeight="false" outlineLevel="0" collapsed="false">
      <c r="A89" s="2" t="n">
        <v>0</v>
      </c>
      <c r="B89" s="1" t="s">
        <v>103</v>
      </c>
      <c r="C89" s="2" t="n">
        <v>0</v>
      </c>
      <c r="D89" s="1" t="str">
        <f aca="false">VLOOKUP(B89,TS!$B$2:$D$99,2,0)</f>
        <v>R2</v>
      </c>
      <c r="E89" s="7" t="s">
        <v>1</v>
      </c>
      <c r="F89" s="1" t="str">
        <f aca="false">IF(D89&lt;&gt;E89,"Y","N")</f>
        <v>N</v>
      </c>
      <c r="G89" s="0" t="s">
        <v>102</v>
      </c>
    </row>
    <row r="90" customFormat="false" ht="12.8" hidden="true" customHeight="false" outlineLevel="0" collapsed="false">
      <c r="A90" s="2" t="n">
        <v>0</v>
      </c>
      <c r="B90" s="2" t="s">
        <v>104</v>
      </c>
      <c r="C90" s="2" t="n">
        <v>0</v>
      </c>
      <c r="D90" s="1" t="str">
        <f aca="false">VLOOKUP(B90,TS!$B$2:$D$99,2,0)</f>
        <v>R2</v>
      </c>
      <c r="E90" s="7" t="s">
        <v>1</v>
      </c>
      <c r="F90" s="1" t="str">
        <f aca="false">IF(D90&lt;&gt;E90,"Y","N")</f>
        <v>N</v>
      </c>
      <c r="G90" s="0" t="s">
        <v>102</v>
      </c>
    </row>
    <row r="91" customFormat="false" ht="12.8" hidden="true" customHeight="false" outlineLevel="0" collapsed="false">
      <c r="A91" s="2" t="n">
        <v>0</v>
      </c>
      <c r="B91" s="1" t="s">
        <v>105</v>
      </c>
      <c r="C91" s="2" t="n">
        <v>0</v>
      </c>
      <c r="D91" s="1" t="str">
        <f aca="false">VLOOKUP(B91,TS!$B$2:$D$99,2,0)</f>
        <v>R2</v>
      </c>
      <c r="E91" s="7" t="s">
        <v>1</v>
      </c>
      <c r="F91" s="1" t="str">
        <f aca="false">IF(D91&lt;&gt;E91,"Y","N")</f>
        <v>N</v>
      </c>
      <c r="G91" s="0" t="s">
        <v>102</v>
      </c>
    </row>
    <row r="92" customFormat="false" ht="12.8" hidden="true" customHeight="false" outlineLevel="0" collapsed="false">
      <c r="A92" s="2" t="n">
        <v>0</v>
      </c>
      <c r="B92" s="1" t="s">
        <v>106</v>
      </c>
      <c r="C92" s="2" t="n">
        <v>0</v>
      </c>
      <c r="D92" s="1" t="str">
        <f aca="false">VLOOKUP(B92,TS!$B$2:$D$99,2,0)</f>
        <v>R2</v>
      </c>
      <c r="E92" s="7" t="s">
        <v>1</v>
      </c>
      <c r="F92" s="1" t="str">
        <f aca="false">IF(D92&lt;&gt;E92,"Y","N")</f>
        <v>N</v>
      </c>
      <c r="G92" s="0" t="s">
        <v>102</v>
      </c>
    </row>
    <row r="93" customFormat="false" ht="12.8" hidden="false" customHeight="false" outlineLevel="0" collapsed="false">
      <c r="A93" s="2" t="n">
        <v>0</v>
      </c>
      <c r="B93" s="1" t="s">
        <v>107</v>
      </c>
      <c r="C93" s="2" t="n">
        <v>0</v>
      </c>
      <c r="D93" s="1" t="str">
        <f aca="false">VLOOKUP(B93,TS!$B$2:$D$99,2,0)</f>
        <v>R3</v>
      </c>
      <c r="E93" s="7" t="s">
        <v>1</v>
      </c>
      <c r="F93" s="1" t="str">
        <f aca="false">IF(D93&lt;&gt;E93,"Y","N")</f>
        <v>Y</v>
      </c>
      <c r="G93" s="1" t="s">
        <v>102</v>
      </c>
    </row>
    <row r="94" customFormat="false" ht="12.8" hidden="true" customHeight="false" outlineLevel="0" collapsed="false">
      <c r="A94" s="2" t="n">
        <v>0</v>
      </c>
      <c r="B94" s="1" t="s">
        <v>108</v>
      </c>
      <c r="C94" s="2" t="n">
        <v>0</v>
      </c>
      <c r="D94" s="1" t="str">
        <f aca="false">VLOOKUP(B94,TS!$B$2:$D$99,2,0)</f>
        <v>R2</v>
      </c>
      <c r="E94" s="7" t="s">
        <v>1</v>
      </c>
      <c r="F94" s="1" t="str">
        <f aca="false">IF(D94&lt;&gt;E94,"Y","N")</f>
        <v>N</v>
      </c>
      <c r="G94" s="0" t="s">
        <v>102</v>
      </c>
    </row>
    <row r="95" customFormat="false" ht="12.8" hidden="false" customHeight="false" outlineLevel="0" collapsed="false">
      <c r="A95" s="1" t="n">
        <v>0</v>
      </c>
      <c r="B95" s="1" t="s">
        <v>109</v>
      </c>
      <c r="C95" s="1" t="n">
        <v>0</v>
      </c>
      <c r="D95" s="1" t="str">
        <f aca="false">VLOOKUP(B95,TS!$B$2:$D$99,2,0)</f>
        <v>R3</v>
      </c>
      <c r="E95" s="7" t="s">
        <v>1</v>
      </c>
      <c r="F95" s="1" t="str">
        <f aca="false">IF(D95&lt;&gt;E95,"Y","N")</f>
        <v>Y</v>
      </c>
      <c r="G95" s="1" t="s">
        <v>102</v>
      </c>
    </row>
    <row r="96" customFormat="false" ht="12.8" hidden="true" customHeight="false" outlineLevel="0" collapsed="false">
      <c r="A96" s="1" t="n">
        <v>0</v>
      </c>
      <c r="B96" s="1" t="s">
        <v>110</v>
      </c>
      <c r="C96" s="1" t="n">
        <v>0</v>
      </c>
      <c r="D96" s="1" t="str">
        <f aca="false">VLOOKUP(B96,TS!$B$2:$D$99,2,0)</f>
        <v>R2</v>
      </c>
      <c r="E96" s="7" t="s">
        <v>1</v>
      </c>
      <c r="F96" s="1" t="str">
        <f aca="false">IF(D96&lt;&gt;E96,"Y","N")</f>
        <v>N</v>
      </c>
      <c r="G96" s="0" t="s">
        <v>102</v>
      </c>
    </row>
    <row r="97" customFormat="false" ht="12.8" hidden="true" customHeight="false" outlineLevel="0" collapsed="false">
      <c r="A97" s="1" t="n">
        <v>0</v>
      </c>
      <c r="B97" s="1" t="s">
        <v>111</v>
      </c>
      <c r="C97" s="1" t="n">
        <v>0</v>
      </c>
      <c r="D97" s="1" t="str">
        <f aca="false">VLOOKUP(B97,TS!$B$2:$D$99,2,0)</f>
        <v>R2</v>
      </c>
      <c r="E97" s="7" t="s">
        <v>1</v>
      </c>
      <c r="F97" s="1" t="str">
        <f aca="false">IF(D97&lt;&gt;E97,"Y","N")</f>
        <v>N</v>
      </c>
      <c r="G97" s="0" t="s">
        <v>102</v>
      </c>
    </row>
    <row r="98" customFormat="false" ht="12.8" hidden="true" customHeight="false" outlineLevel="0" collapsed="false">
      <c r="A98" s="0" t="n">
        <v>0</v>
      </c>
      <c r="B98" s="1" t="s">
        <v>112</v>
      </c>
      <c r="C98" s="2" t="n">
        <v>0</v>
      </c>
      <c r="D98" s="1" t="str">
        <f aca="false">VLOOKUP(B98,TS!$B$2:$D$99,2,0)</f>
        <v>R2</v>
      </c>
      <c r="E98" s="7" t="s">
        <v>1</v>
      </c>
      <c r="F98" s="1" t="str">
        <f aca="false">IF(D98&lt;&gt;E98,"Y","N")</f>
        <v>N</v>
      </c>
      <c r="G98" s="0" t="s">
        <v>102</v>
      </c>
    </row>
    <row r="99" customFormat="false" ht="12.8" hidden="true" customHeight="true" outlineLevel="0" collapsed="false">
      <c r="A99" s="1" t="n">
        <v>0</v>
      </c>
      <c r="B99" s="1" t="s">
        <v>113</v>
      </c>
      <c r="C99" s="1" t="n">
        <v>0</v>
      </c>
      <c r="D99" s="1" t="str">
        <f aca="false">VLOOKUP(B99,TS!$B$2:$D$99,2,0)</f>
        <v>R2</v>
      </c>
      <c r="E99" s="7" t="s">
        <v>1</v>
      </c>
      <c r="F99" s="1" t="str">
        <f aca="false">IF(D99&lt;&gt;E99,"Y","N")</f>
        <v>N</v>
      </c>
      <c r="G99" s="0" t="s">
        <v>102</v>
      </c>
    </row>
    <row r="100" customFormat="false" ht="12.8" hidden="true" customHeight="true" outlineLevel="0" collapsed="false">
      <c r="A100" s="0" t="n">
        <v>0</v>
      </c>
      <c r="B100" s="1" t="s">
        <v>114</v>
      </c>
      <c r="C100" s="1" t="n">
        <v>0</v>
      </c>
      <c r="D100" s="1" t="str">
        <f aca="false">VLOOKUP(B100,TS!$B$2:$D$99,2,0)</f>
        <v>R2</v>
      </c>
      <c r="E100" s="7" t="s">
        <v>1</v>
      </c>
      <c r="F100" s="1" t="str">
        <f aca="false">IF(D100&lt;&gt;E100,"Y","N")</f>
        <v>N</v>
      </c>
      <c r="G100" s="0" t="s">
        <v>102</v>
      </c>
    </row>
    <row r="101" customFormat="false" ht="12.8" hidden="false" customHeight="true" outlineLevel="0" collapsed="false">
      <c r="A101" s="0" t="n">
        <v>0</v>
      </c>
      <c r="B101" s="1" t="s">
        <v>115</v>
      </c>
      <c r="C101" s="1" t="n">
        <v>0</v>
      </c>
      <c r="D101" s="1" t="str">
        <f aca="false">VLOOKUP(B101,TS!$B$2:$D$99,2,0)</f>
        <v>R2</v>
      </c>
      <c r="E101" s="7" t="s">
        <v>95</v>
      </c>
      <c r="F101" s="1" t="str">
        <f aca="false">IF(D101&lt;&gt;E101,"Y","N")</f>
        <v>Y</v>
      </c>
    </row>
  </sheetData>
  <autoFilter ref="A1:G101">
    <filterColumn colId="5">
      <filters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false" showOutlineSymbols="true" defaultGridColor="true" view="normal" topLeftCell="A70" colorId="64" zoomScale="200" zoomScaleNormal="200" zoomScalePageLayoutView="100" workbookViewId="0">
      <selection pane="topLeft" activeCell="B86" activeCellId="0" sqref="B8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  <col collapsed="false" customWidth="true" hidden="false" outlineLevel="0" max="5" min="5" style="0" width="16.04"/>
  </cols>
  <sheetData>
    <row r="1" customFormat="false" ht="12.8" hidden="false" customHeight="false" outlineLevel="0" collapsed="false">
      <c r="A1" s="1" t="s">
        <v>116</v>
      </c>
      <c r="B1" s="1" t="s">
        <v>117</v>
      </c>
      <c r="C1" s="1" t="s">
        <v>118</v>
      </c>
      <c r="D1" s="1" t="s">
        <v>119</v>
      </c>
      <c r="E1" s="0" t="s">
        <v>120</v>
      </c>
    </row>
    <row r="2" customFormat="false" ht="12.8" hidden="false" customHeight="false" outlineLevel="0" collapsed="false">
      <c r="A2" s="1" t="n">
        <v>1</v>
      </c>
      <c r="B2" s="1" t="s">
        <v>27</v>
      </c>
      <c r="C2" s="1" t="s">
        <v>2</v>
      </c>
      <c r="D2" s="1" t="n">
        <v>102000</v>
      </c>
      <c r="E2" s="0" t="str">
        <f aca="false">VLOOKUP(B2,VS!B:B,1,0)</f>
        <v>azerty57</v>
      </c>
    </row>
    <row r="3" customFormat="false" ht="12.8" hidden="false" customHeight="false" outlineLevel="0" collapsed="false">
      <c r="A3" s="1" t="n">
        <v>2</v>
      </c>
      <c r="B3" s="1" t="s">
        <v>11</v>
      </c>
      <c r="C3" s="1" t="s">
        <v>2</v>
      </c>
      <c r="D3" s="1" t="n">
        <v>79900</v>
      </c>
      <c r="E3" s="0" t="str">
        <f aca="false">VLOOKUP(B3,VS!B:B,1,0)</f>
        <v>Bugab0o</v>
      </c>
    </row>
    <row r="4" customFormat="false" ht="12.8" hidden="false" customHeight="false" outlineLevel="0" collapsed="false">
      <c r="A4" s="1" t="n">
        <v>3</v>
      </c>
      <c r="B4" s="1" t="s">
        <v>32</v>
      </c>
      <c r="C4" s="1" t="s">
        <v>14</v>
      </c>
      <c r="D4" s="1" t="n">
        <v>74500</v>
      </c>
      <c r="E4" s="0" t="str">
        <f aca="false">VLOOKUP(B4,VS!B:B,1,0)</f>
        <v>cappu97</v>
      </c>
    </row>
    <row r="5" customFormat="false" ht="12.8" hidden="false" customHeight="false" outlineLevel="0" collapsed="false">
      <c r="A5" s="1" t="n">
        <v>4</v>
      </c>
      <c r="B5" s="1" t="s">
        <v>64</v>
      </c>
      <c r="C5" s="1" t="s">
        <v>2</v>
      </c>
      <c r="D5" s="1" t="n">
        <v>71000</v>
      </c>
      <c r="E5" s="0" t="str">
        <f aca="false">VLOOKUP(B5,VS!B:B,1,0)</f>
        <v>Anakín</v>
      </c>
    </row>
    <row r="6" customFormat="false" ht="12.8" hidden="false" customHeight="false" outlineLevel="0" collapsed="false">
      <c r="A6" s="1" t="n">
        <v>5</v>
      </c>
      <c r="B6" s="1" t="s">
        <v>15</v>
      </c>
      <c r="C6" s="1" t="s">
        <v>2</v>
      </c>
      <c r="D6" s="1" t="n">
        <v>68500</v>
      </c>
      <c r="E6" s="0" t="str">
        <f aca="false">VLOOKUP(B6,VS!B:B,1,0)</f>
        <v>Svela17</v>
      </c>
    </row>
    <row r="7" customFormat="false" ht="12.8" hidden="false" customHeight="false" outlineLevel="0" collapsed="false">
      <c r="A7" s="1" t="n">
        <v>6</v>
      </c>
      <c r="B7" s="2" t="s">
        <v>75</v>
      </c>
      <c r="C7" s="1" t="s">
        <v>1</v>
      </c>
      <c r="D7" s="1" t="n">
        <v>67600</v>
      </c>
      <c r="E7" s="0" t="str">
        <f aca="false">VLOOKUP(B7,VS!B:B,1,0)</f>
        <v>waynowazza</v>
      </c>
    </row>
    <row r="8" customFormat="false" ht="12.8" hidden="false" customHeight="false" outlineLevel="0" collapsed="false">
      <c r="A8" s="1" t="n">
        <v>7</v>
      </c>
      <c r="B8" s="2" t="s">
        <v>58</v>
      </c>
      <c r="C8" s="1" t="s">
        <v>59</v>
      </c>
      <c r="D8" s="1" t="n">
        <v>66600</v>
      </c>
      <c r="E8" s="0" t="str">
        <f aca="false">VLOOKUP(B8,VS!B:B,1,0)</f>
        <v>Queeniiiiii</v>
      </c>
    </row>
    <row r="9" customFormat="false" ht="12.8" hidden="false" customHeight="false" outlineLevel="0" collapsed="false">
      <c r="A9" s="1" t="n">
        <v>8</v>
      </c>
      <c r="B9" s="1" t="s">
        <v>52</v>
      </c>
      <c r="C9" s="1" t="s">
        <v>2</v>
      </c>
      <c r="D9" s="1" t="n">
        <v>65150</v>
      </c>
      <c r="E9" s="0" t="str">
        <f aca="false">VLOOKUP(B9,VS!B:B,1,0)</f>
        <v>ECSI</v>
      </c>
    </row>
    <row r="10" customFormat="false" ht="12.8" hidden="false" customHeight="false" outlineLevel="0" collapsed="false">
      <c r="A10" s="1" t="n">
        <v>9</v>
      </c>
      <c r="B10" s="2" t="s">
        <v>13</v>
      </c>
      <c r="C10" s="1" t="s">
        <v>14</v>
      </c>
      <c r="D10" s="1" t="n">
        <v>63750</v>
      </c>
      <c r="E10" s="0" t="str">
        <f aca="false">VLOOKUP(B10,VS!B:B,1,0)</f>
        <v>JSheridan</v>
      </c>
    </row>
    <row r="11" customFormat="false" ht="12.8" hidden="false" customHeight="false" outlineLevel="0" collapsed="false">
      <c r="A11" s="1" t="n">
        <v>10</v>
      </c>
      <c r="B11" s="1" t="s">
        <v>12</v>
      </c>
      <c r="C11" s="1" t="s">
        <v>2</v>
      </c>
      <c r="D11" s="1" t="n">
        <v>63350</v>
      </c>
      <c r="E11" s="0" t="str">
        <f aca="false">VLOOKUP(B11,VS!B:B,1,0)</f>
        <v>Last Wolf Warrior</v>
      </c>
    </row>
    <row r="12" customFormat="false" ht="12.8" hidden="false" customHeight="false" outlineLevel="0" collapsed="false">
      <c r="A12" s="1" t="n">
        <v>11</v>
      </c>
      <c r="B12" s="1" t="s">
        <v>50</v>
      </c>
      <c r="C12" s="1" t="s">
        <v>2</v>
      </c>
      <c r="D12" s="1" t="n">
        <v>63150</v>
      </c>
      <c r="E12" s="0" t="str">
        <f aca="false">VLOOKUP(B12,VS!B:B,1,0)</f>
        <v>jukata</v>
      </c>
    </row>
    <row r="13" customFormat="false" ht="12.8" hidden="false" customHeight="false" outlineLevel="0" collapsed="false">
      <c r="A13" s="1" t="n">
        <v>12</v>
      </c>
      <c r="B13" s="2" t="s">
        <v>19</v>
      </c>
      <c r="C13" s="1" t="s">
        <v>2</v>
      </c>
      <c r="D13" s="1" t="n">
        <v>63050</v>
      </c>
      <c r="E13" s="0" t="str">
        <f aca="false">VLOOKUP(B13,VS!B:B,1,0)</f>
        <v>Bogo und Pini</v>
      </c>
    </row>
    <row r="14" customFormat="false" ht="12.8" hidden="false" customHeight="false" outlineLevel="0" collapsed="false">
      <c r="A14" s="1" t="n">
        <v>13</v>
      </c>
      <c r="B14" s="1" t="s">
        <v>28</v>
      </c>
      <c r="C14" s="1" t="s">
        <v>2</v>
      </c>
      <c r="D14" s="1" t="n">
        <v>62250</v>
      </c>
      <c r="E14" s="0" t="str">
        <f aca="false">VLOOKUP(B14,VS!B:B,1,0)</f>
        <v>Space peak</v>
      </c>
    </row>
    <row r="15" customFormat="false" ht="12.8" hidden="false" customHeight="false" outlineLevel="0" collapsed="false">
      <c r="A15" s="1" t="n">
        <v>14</v>
      </c>
      <c r="B15" s="1" t="s">
        <v>41</v>
      </c>
      <c r="C15" s="1" t="s">
        <v>2</v>
      </c>
      <c r="D15" s="1" t="n">
        <v>61800</v>
      </c>
      <c r="E15" s="0" t="str">
        <f aca="false">VLOOKUP(B15,VS!B:B,1,0)</f>
        <v>Golden FOX</v>
      </c>
    </row>
    <row r="16" customFormat="false" ht="12.8" hidden="false" customHeight="false" outlineLevel="0" collapsed="false">
      <c r="A16" s="1" t="n">
        <v>15</v>
      </c>
      <c r="B16" s="1" t="s">
        <v>43</v>
      </c>
      <c r="C16" s="1" t="s">
        <v>14</v>
      </c>
      <c r="D16" s="1" t="n">
        <v>61050</v>
      </c>
      <c r="E16" s="0" t="str">
        <f aca="false">VLOOKUP(B16,VS!B:B,1,0)</f>
        <v>PHOENIX FOX</v>
      </c>
    </row>
    <row r="17" customFormat="false" ht="12.8" hidden="false" customHeight="false" outlineLevel="0" collapsed="false">
      <c r="A17" s="1" t="n">
        <v>16</v>
      </c>
      <c r="B17" s="1" t="s">
        <v>44</v>
      </c>
      <c r="C17" s="1" t="s">
        <v>2</v>
      </c>
      <c r="D17" s="1" t="n">
        <v>60050</v>
      </c>
      <c r="E17" s="0" t="str">
        <f aca="false">VLOOKUP(B17,VS!B:B,1,0)</f>
        <v>K E R S Y</v>
      </c>
    </row>
    <row r="18" customFormat="false" ht="12.8" hidden="false" customHeight="false" outlineLevel="0" collapsed="false">
      <c r="A18" s="1" t="n">
        <v>17</v>
      </c>
      <c r="B18" s="1" t="s">
        <v>54</v>
      </c>
      <c r="C18" s="1" t="s">
        <v>2</v>
      </c>
      <c r="D18" s="1" t="n">
        <v>58050</v>
      </c>
      <c r="E18" s="0" t="str">
        <f aca="false">VLOOKUP(B18,VS!B:B,1,0)</f>
        <v>Toby Urbex</v>
      </c>
    </row>
    <row r="19" customFormat="false" ht="12.8" hidden="false" customHeight="false" outlineLevel="0" collapsed="false">
      <c r="A19" s="1" t="n">
        <v>18</v>
      </c>
      <c r="B19" s="1" t="s">
        <v>46</v>
      </c>
      <c r="C19" s="1" t="s">
        <v>2</v>
      </c>
      <c r="D19" s="1" t="n">
        <v>57950</v>
      </c>
      <c r="E19" s="0" t="str">
        <f aca="false">VLOOKUP(B19,VS!B:B,1,0)</f>
        <v>DragonWiz</v>
      </c>
    </row>
    <row r="20" customFormat="false" ht="12.8" hidden="false" customHeight="false" outlineLevel="0" collapsed="false">
      <c r="A20" s="1" t="n">
        <v>19</v>
      </c>
      <c r="B20" s="1" t="s">
        <v>25</v>
      </c>
      <c r="C20" s="1" t="s">
        <v>2</v>
      </c>
      <c r="D20" s="1" t="n">
        <v>57050</v>
      </c>
      <c r="E20" s="0" t="str">
        <f aca="false">VLOOKUP(B20,VS!B:B,1,0)</f>
        <v>Cluster82</v>
      </c>
    </row>
    <row r="21" customFormat="false" ht="12.8" hidden="false" customHeight="false" outlineLevel="0" collapsed="false">
      <c r="A21" s="1" t="n">
        <v>20</v>
      </c>
      <c r="B21" s="1" t="s">
        <v>51</v>
      </c>
      <c r="C21" s="1" t="s">
        <v>2</v>
      </c>
      <c r="D21" s="1" t="n">
        <v>56550</v>
      </c>
      <c r="E21" s="0" t="str">
        <f aca="false">VLOOKUP(B21,VS!B:B,1,0)</f>
        <v>lefueT</v>
      </c>
    </row>
    <row r="22" customFormat="false" ht="12.8" hidden="false" customHeight="false" outlineLevel="0" collapsed="false">
      <c r="A22" s="1" t="n">
        <v>21</v>
      </c>
      <c r="B22" s="1" t="s">
        <v>35</v>
      </c>
      <c r="C22" s="1" t="s">
        <v>14</v>
      </c>
      <c r="D22" s="1" t="n">
        <v>56050</v>
      </c>
      <c r="E22" s="0" t="str">
        <f aca="false">VLOOKUP(B22,VS!B:B,1,0)</f>
        <v>Kytrider</v>
      </c>
    </row>
    <row r="23" customFormat="false" ht="12.8" hidden="false" customHeight="false" outlineLevel="0" collapsed="false">
      <c r="A23" s="1" t="n">
        <v>22</v>
      </c>
      <c r="B23" s="1" t="s">
        <v>21</v>
      </c>
      <c r="C23" s="1" t="s">
        <v>2</v>
      </c>
      <c r="D23" s="1" t="n">
        <v>55900</v>
      </c>
      <c r="E23" s="0" t="str">
        <f aca="false">VLOOKUP(B23,VS!B:B,1,0)</f>
        <v>Kotor47</v>
      </c>
    </row>
    <row r="24" customFormat="false" ht="12.8" hidden="false" customHeight="false" outlineLevel="0" collapsed="false">
      <c r="A24" s="1" t="n">
        <v>23</v>
      </c>
      <c r="B24" s="1" t="s">
        <v>24</v>
      </c>
      <c r="C24" s="1" t="s">
        <v>14</v>
      </c>
      <c r="D24" s="1" t="n">
        <v>55800</v>
      </c>
      <c r="E24" s="0" t="str">
        <f aca="false">VLOOKUP(B24,VS!B:B,1,0)</f>
        <v>Smowy</v>
      </c>
    </row>
    <row r="25" customFormat="false" ht="12.8" hidden="false" customHeight="false" outlineLevel="0" collapsed="false">
      <c r="A25" s="1" t="n">
        <v>24</v>
      </c>
      <c r="B25" s="2" t="s">
        <v>17</v>
      </c>
      <c r="C25" s="1" t="s">
        <v>14</v>
      </c>
      <c r="D25" s="1" t="n">
        <v>53150</v>
      </c>
      <c r="E25" s="0" t="str">
        <f aca="false">VLOOKUP(B25,VS!B:B,1,0)</f>
        <v>supi pupi</v>
      </c>
    </row>
    <row r="26" customFormat="false" ht="12.8" hidden="false" customHeight="false" outlineLevel="0" collapsed="false">
      <c r="A26" s="1" t="n">
        <v>25</v>
      </c>
      <c r="B26" s="1" t="s">
        <v>37</v>
      </c>
      <c r="C26" s="1" t="s">
        <v>2</v>
      </c>
      <c r="D26" s="1" t="n">
        <v>52850</v>
      </c>
      <c r="E26" s="0" t="str">
        <f aca="false">VLOOKUP(B26,VS!B:B,1,0)</f>
        <v>Sphere8472</v>
      </c>
    </row>
    <row r="27" customFormat="false" ht="12.8" hidden="false" customHeight="false" outlineLevel="0" collapsed="false">
      <c r="A27" s="1" t="n">
        <v>26</v>
      </c>
      <c r="B27" s="1" t="s">
        <v>26</v>
      </c>
      <c r="C27" s="1" t="s">
        <v>2</v>
      </c>
      <c r="D27" s="1" t="n">
        <v>52700</v>
      </c>
      <c r="E27" s="0" t="str">
        <f aca="false">VLOOKUP(B27,VS!B:B,1,0)</f>
        <v>SNPOL</v>
      </c>
    </row>
    <row r="28" customFormat="false" ht="12.8" hidden="false" customHeight="false" outlineLevel="0" collapsed="false">
      <c r="A28" s="1" t="n">
        <v>27</v>
      </c>
      <c r="B28" s="1" t="s">
        <v>63</v>
      </c>
      <c r="C28" s="1" t="s">
        <v>2</v>
      </c>
      <c r="D28" s="1" t="n">
        <v>51550</v>
      </c>
      <c r="E28" s="0" t="str">
        <f aca="false">VLOOKUP(B28,VS!B:B,1,0)</f>
        <v>Fürstin</v>
      </c>
    </row>
    <row r="29" customFormat="false" ht="12.8" hidden="false" customHeight="false" outlineLevel="0" collapsed="false">
      <c r="A29" s="1" t="n">
        <v>28</v>
      </c>
      <c r="B29" s="1" t="s">
        <v>23</v>
      </c>
      <c r="C29" s="1" t="s">
        <v>2</v>
      </c>
      <c r="D29" s="1" t="n">
        <v>51150</v>
      </c>
      <c r="E29" s="0" t="str">
        <f aca="false">VLOOKUP(B29,VS!B:B,1,0)</f>
        <v>Giorgiotown</v>
      </c>
    </row>
    <row r="30" customFormat="false" ht="12.8" hidden="false" customHeight="false" outlineLevel="0" collapsed="false">
      <c r="A30" s="1" t="n">
        <v>29</v>
      </c>
      <c r="B30" s="1" t="s">
        <v>60</v>
      </c>
      <c r="C30" s="1" t="s">
        <v>2</v>
      </c>
      <c r="D30" s="1" t="n">
        <v>49950</v>
      </c>
      <c r="E30" s="0" t="str">
        <f aca="false">VLOOKUP(B30,VS!B:B,1,0)</f>
        <v>Sanya Longer</v>
      </c>
    </row>
    <row r="31" customFormat="false" ht="12.8" hidden="false" customHeight="false" outlineLevel="0" collapsed="false">
      <c r="A31" s="1" t="n">
        <v>30</v>
      </c>
      <c r="B31" s="1" t="s">
        <v>42</v>
      </c>
      <c r="C31" s="1" t="s">
        <v>2</v>
      </c>
      <c r="D31" s="1" t="n">
        <v>48900</v>
      </c>
      <c r="E31" s="0" t="str">
        <f aca="false">VLOOKUP(B31,VS!B:B,1,0)</f>
        <v>Archy Monkey</v>
      </c>
    </row>
    <row r="32" customFormat="false" ht="12.8" hidden="false" customHeight="false" outlineLevel="0" collapsed="false">
      <c r="A32" s="1" t="n">
        <v>31</v>
      </c>
      <c r="B32" s="1" t="s">
        <v>90</v>
      </c>
      <c r="C32" s="1" t="s">
        <v>1</v>
      </c>
      <c r="D32" s="1" t="n">
        <v>48550</v>
      </c>
      <c r="E32" s="0" t="str">
        <f aca="false">VLOOKUP(B32,VS!B:B,1,0)</f>
        <v>Kpiftw</v>
      </c>
    </row>
    <row r="33" customFormat="false" ht="12.8" hidden="false" customHeight="false" outlineLevel="0" collapsed="false">
      <c r="A33" s="1" t="n">
        <v>32</v>
      </c>
      <c r="B33" s="1" t="s">
        <v>53</v>
      </c>
      <c r="C33" s="1" t="s">
        <v>2</v>
      </c>
      <c r="D33" s="1" t="n">
        <v>47600</v>
      </c>
      <c r="E33" s="0" t="str">
        <f aca="false">VLOOKUP(B33,VS!B:B,1,0)</f>
        <v>Dejweed</v>
      </c>
    </row>
    <row r="34" customFormat="false" ht="14.15" hidden="false" customHeight="false" outlineLevel="0" collapsed="false">
      <c r="A34" s="1" t="n">
        <v>33</v>
      </c>
      <c r="B34" s="1" t="s">
        <v>77</v>
      </c>
      <c r="C34" s="1" t="s">
        <v>1</v>
      </c>
      <c r="D34" s="1" t="n">
        <v>47350</v>
      </c>
      <c r="E34" s="0" t="str">
        <f aca="false">VLOOKUP(B34,VS!B:B,1,0)</f>
        <v>تاجM</v>
      </c>
    </row>
    <row r="35" customFormat="false" ht="12.8" hidden="false" customHeight="false" outlineLevel="0" collapsed="false">
      <c r="A35" s="1" t="n">
        <v>34</v>
      </c>
      <c r="B35" s="4" t="s">
        <v>30</v>
      </c>
      <c r="C35" s="1" t="s">
        <v>2</v>
      </c>
      <c r="D35" s="1" t="n">
        <v>47150</v>
      </c>
      <c r="E35" s="0" t="str">
        <f aca="false">VLOOKUP(B35,VS!B:B,1,0)</f>
        <v>LaFleur32</v>
      </c>
    </row>
    <row r="36" customFormat="false" ht="12.8" hidden="false" customHeight="false" outlineLevel="0" collapsed="false">
      <c r="A36" s="1" t="n">
        <v>35</v>
      </c>
      <c r="B36" s="1" t="s">
        <v>29</v>
      </c>
      <c r="C36" s="1" t="s">
        <v>2</v>
      </c>
      <c r="D36" s="1" t="n">
        <v>47050</v>
      </c>
      <c r="E36" s="0" t="str">
        <f aca="false">VLOOKUP(B36,VS!B:B,1,0)</f>
        <v>Dragon blou</v>
      </c>
    </row>
    <row r="37" customFormat="false" ht="12.8" hidden="false" customHeight="false" outlineLevel="0" collapsed="false">
      <c r="A37" s="1" t="n">
        <v>36</v>
      </c>
      <c r="B37" s="1" t="s">
        <v>73</v>
      </c>
      <c r="C37" s="1" t="s">
        <v>2</v>
      </c>
      <c r="D37" s="1" t="n">
        <v>46650</v>
      </c>
      <c r="E37" s="0" t="str">
        <f aca="false">VLOOKUP(B37,VS!B:B,1,0)</f>
        <v>CalziferFire</v>
      </c>
    </row>
    <row r="38" customFormat="false" ht="12.8" hidden="false" customHeight="false" outlineLevel="0" collapsed="false">
      <c r="A38" s="1" t="n">
        <v>37</v>
      </c>
      <c r="B38" s="4" t="s">
        <v>56</v>
      </c>
      <c r="C38" s="1" t="s">
        <v>2</v>
      </c>
      <c r="D38" s="1" t="n">
        <v>46650</v>
      </c>
      <c r="E38" s="0" t="str">
        <f aca="false">VLOOKUP(B38,VS!B:B,1,0)</f>
        <v>Tom12234455</v>
      </c>
    </row>
    <row r="39" customFormat="false" ht="12.8" hidden="false" customHeight="false" outlineLevel="0" collapsed="false">
      <c r="A39" s="1" t="n">
        <v>38</v>
      </c>
      <c r="B39" s="4" t="s">
        <v>33</v>
      </c>
      <c r="C39" s="1" t="s">
        <v>2</v>
      </c>
      <c r="D39" s="1" t="n">
        <v>46550</v>
      </c>
      <c r="E39" s="0" t="str">
        <f aca="false">VLOOKUP(B39,VS!B:B,1,0)</f>
        <v>Pinsel20</v>
      </c>
    </row>
    <row r="40" customFormat="false" ht="12.8" hidden="false" customHeight="false" outlineLevel="0" collapsed="false">
      <c r="A40" s="1" t="n">
        <v>39</v>
      </c>
      <c r="B40" s="1" t="s">
        <v>69</v>
      </c>
      <c r="C40" s="1" t="s">
        <v>2</v>
      </c>
      <c r="D40" s="1" t="n">
        <v>46400</v>
      </c>
      <c r="E40" s="0" t="str">
        <f aca="false">VLOOKUP(B40,VS!B:B,1,0)</f>
        <v>sunny75</v>
      </c>
    </row>
    <row r="41" customFormat="false" ht="12.8" hidden="false" customHeight="false" outlineLevel="0" collapsed="false">
      <c r="A41" s="1" t="n">
        <v>40</v>
      </c>
      <c r="B41" s="1" t="s">
        <v>18</v>
      </c>
      <c r="C41" s="1" t="s">
        <v>2</v>
      </c>
      <c r="D41" s="1" t="n">
        <v>46300</v>
      </c>
      <c r="E41" s="0" t="str">
        <f aca="false">VLOOKUP(B41,VS!B:B,1,0)</f>
        <v>Chrisiiii</v>
      </c>
    </row>
    <row r="42" customFormat="false" ht="12.8" hidden="false" customHeight="false" outlineLevel="0" collapsed="false">
      <c r="A42" s="1" t="n">
        <v>41</v>
      </c>
      <c r="B42" s="1" t="s">
        <v>89</v>
      </c>
      <c r="C42" s="1" t="s">
        <v>1</v>
      </c>
      <c r="D42" s="1" t="n">
        <v>46200</v>
      </c>
      <c r="E42" s="0" t="str">
        <f aca="false">VLOOKUP(B42,VS!B:B,1,0)</f>
        <v>Seniorcoca</v>
      </c>
    </row>
    <row r="43" customFormat="false" ht="12.8" hidden="false" customHeight="false" outlineLevel="0" collapsed="false">
      <c r="A43" s="1" t="n">
        <v>42</v>
      </c>
      <c r="B43" s="1" t="s">
        <v>61</v>
      </c>
      <c r="C43" s="1" t="s">
        <v>2</v>
      </c>
      <c r="D43" s="1" t="n">
        <v>46100</v>
      </c>
      <c r="E43" s="0" t="str">
        <f aca="false">VLOOKUP(B43,VS!B:B,1,0)</f>
        <v>DaliborDaki</v>
      </c>
    </row>
    <row r="44" customFormat="false" ht="12.8" hidden="false" customHeight="false" outlineLevel="0" collapsed="false">
      <c r="A44" s="1" t="n">
        <v>43</v>
      </c>
      <c r="B44" s="4" t="s">
        <v>16</v>
      </c>
      <c r="C44" s="1" t="s">
        <v>14</v>
      </c>
      <c r="D44" s="1" t="n">
        <v>45900</v>
      </c>
      <c r="E44" s="0" t="str">
        <f aca="false">VLOOKUP(B44,VS!B:B,1,0)</f>
        <v>Fran171526</v>
      </c>
    </row>
    <row r="45" customFormat="false" ht="12.8" hidden="false" customHeight="false" outlineLevel="0" collapsed="false">
      <c r="A45" s="1" t="n">
        <v>44</v>
      </c>
      <c r="B45" s="4" t="s">
        <v>45</v>
      </c>
      <c r="C45" s="1" t="s">
        <v>2</v>
      </c>
      <c r="D45" s="1" t="n">
        <v>45300</v>
      </c>
      <c r="E45" s="0" t="str">
        <f aca="false">VLOOKUP(B45,VS!B:B,1,0)</f>
        <v>SmartesGirl</v>
      </c>
    </row>
    <row r="46" customFormat="false" ht="12.8" hidden="false" customHeight="false" outlineLevel="0" collapsed="false">
      <c r="A46" s="1" t="n">
        <v>45</v>
      </c>
      <c r="B46" s="1" t="s">
        <v>40</v>
      </c>
      <c r="C46" s="1" t="s">
        <v>2</v>
      </c>
      <c r="D46" s="1" t="n">
        <v>45250</v>
      </c>
      <c r="E46" s="0" t="str">
        <f aca="false">VLOOKUP(B46,VS!B:B,1,0)</f>
        <v>UMY Stern</v>
      </c>
    </row>
    <row r="47" customFormat="false" ht="12.8" hidden="false" customHeight="false" outlineLevel="0" collapsed="false">
      <c r="A47" s="1" t="n">
        <v>46</v>
      </c>
      <c r="B47" s="5" t="s">
        <v>48</v>
      </c>
      <c r="C47" s="1" t="s">
        <v>1</v>
      </c>
      <c r="D47" s="1" t="n">
        <v>45000</v>
      </c>
      <c r="E47" s="0" t="str">
        <f aca="false">VLOOKUP(B47,VS!B:B,1,0)</f>
        <v>커프 부인</v>
      </c>
    </row>
    <row r="48" customFormat="false" ht="12.8" hidden="false" customHeight="false" outlineLevel="0" collapsed="false">
      <c r="A48" s="1" t="n">
        <v>47</v>
      </c>
      <c r="B48" s="1" t="s">
        <v>31</v>
      </c>
      <c r="C48" s="1" t="s">
        <v>2</v>
      </c>
      <c r="D48" s="1" t="n">
        <v>44850</v>
      </c>
      <c r="E48" s="0" t="str">
        <f aca="false">VLOOKUP(B48,VS!B:B,1,0)</f>
        <v>Baba Basti</v>
      </c>
    </row>
    <row r="49" customFormat="false" ht="12.8" hidden="false" customHeight="false" outlineLevel="0" collapsed="false">
      <c r="A49" s="1" t="n">
        <v>48</v>
      </c>
      <c r="B49" s="1" t="s">
        <v>38</v>
      </c>
      <c r="C49" s="1" t="s">
        <v>2</v>
      </c>
      <c r="D49" s="1" t="n">
        <v>44450</v>
      </c>
      <c r="E49" s="0" t="str">
        <f aca="false">VLOOKUP(B49,VS!B:B,1,0)</f>
        <v>Haulsen</v>
      </c>
    </row>
    <row r="50" customFormat="false" ht="12.8" hidden="false" customHeight="false" outlineLevel="0" collapsed="false">
      <c r="A50" s="1" t="n">
        <v>49</v>
      </c>
      <c r="B50" s="1" t="s">
        <v>71</v>
      </c>
      <c r="C50" s="1" t="s">
        <v>2</v>
      </c>
      <c r="D50" s="1" t="n">
        <v>43800</v>
      </c>
      <c r="E50" s="0" t="str">
        <f aca="false">VLOOKUP(B50,VS!B:B,1,0)</f>
        <v>EXITUS</v>
      </c>
    </row>
    <row r="51" customFormat="false" ht="12.8" hidden="false" customHeight="false" outlineLevel="0" collapsed="false">
      <c r="A51" s="1" t="n">
        <v>50</v>
      </c>
      <c r="B51" s="1" t="s">
        <v>22</v>
      </c>
      <c r="C51" s="1" t="s">
        <v>2</v>
      </c>
      <c r="D51" s="1" t="n">
        <v>43500</v>
      </c>
      <c r="E51" s="0" t="str">
        <f aca="false">VLOOKUP(B51,VS!B:B,1,0)</f>
        <v>giMp</v>
      </c>
    </row>
    <row r="52" customFormat="false" ht="12.8" hidden="false" customHeight="false" outlineLevel="0" collapsed="false">
      <c r="A52" s="1" t="n">
        <v>51</v>
      </c>
      <c r="B52" s="1" t="s">
        <v>87</v>
      </c>
      <c r="C52" s="1" t="s">
        <v>1</v>
      </c>
      <c r="D52" s="1" t="n">
        <v>43450</v>
      </c>
      <c r="E52" s="0" t="str">
        <f aca="false">VLOOKUP(B52,VS!B:B,1,0)</f>
        <v>The Pharo 2026</v>
      </c>
    </row>
    <row r="53" customFormat="false" ht="12.8" hidden="false" customHeight="false" outlineLevel="0" collapsed="false">
      <c r="A53" s="1" t="n">
        <v>52</v>
      </c>
      <c r="B53" s="1" t="s">
        <v>83</v>
      </c>
      <c r="C53" s="1" t="s">
        <v>1</v>
      </c>
      <c r="D53" s="1" t="n">
        <v>43400</v>
      </c>
      <c r="E53" s="0" t="str">
        <f aca="false">VLOOKUP(B53,VS!B:B,1,0)</f>
        <v>Campio91</v>
      </c>
    </row>
    <row r="54" customFormat="false" ht="14.15" hidden="false" customHeight="false" outlineLevel="0" collapsed="false">
      <c r="A54" s="1" t="n">
        <v>53</v>
      </c>
      <c r="B54" s="1" t="s">
        <v>20</v>
      </c>
      <c r="C54" s="1" t="s">
        <v>14</v>
      </c>
      <c r="D54" s="1" t="n">
        <v>42400</v>
      </c>
      <c r="E54" s="0" t="str">
        <f aca="false">VLOOKUP(B54,VS!B:B,1,0)</f>
        <v>pizm8 ツ</v>
      </c>
    </row>
    <row r="55" customFormat="false" ht="12.8" hidden="false" customHeight="false" outlineLevel="0" collapsed="false">
      <c r="A55" s="1" t="n">
        <v>54</v>
      </c>
      <c r="B55" s="1" t="s">
        <v>70</v>
      </c>
      <c r="C55" s="1" t="s">
        <v>1</v>
      </c>
      <c r="D55" s="1" t="n">
        <v>42200</v>
      </c>
      <c r="E55" s="0" t="str">
        <f aca="false">VLOOKUP(B55,VS!B:B,1,0)</f>
        <v>fffeyz</v>
      </c>
    </row>
    <row r="56" customFormat="false" ht="12.8" hidden="false" customHeight="false" outlineLevel="0" collapsed="false">
      <c r="A56" s="1" t="n">
        <v>55</v>
      </c>
      <c r="B56" s="1" t="s">
        <v>47</v>
      </c>
      <c r="C56" s="1" t="s">
        <v>14</v>
      </c>
      <c r="D56" s="1" t="n">
        <v>42050</v>
      </c>
      <c r="E56" s="0" t="str">
        <f aca="false">VLOOKUP(B56,VS!B:B,1,0)</f>
        <v>Fürst der Nazgúl</v>
      </c>
    </row>
    <row r="57" customFormat="false" ht="12.8" hidden="false" customHeight="false" outlineLevel="0" collapsed="false">
      <c r="A57" s="1" t="n">
        <v>56</v>
      </c>
      <c r="B57" s="1" t="s">
        <v>55</v>
      </c>
      <c r="C57" s="1" t="s">
        <v>2</v>
      </c>
      <c r="D57" s="1" t="n">
        <v>41800</v>
      </c>
      <c r="E57" s="0" t="str">
        <f aca="false">VLOOKUP(B57,VS!B:B,1,0)</f>
        <v>ozzy5255</v>
      </c>
    </row>
    <row r="58" customFormat="false" ht="12.8" hidden="false" customHeight="false" outlineLevel="0" collapsed="false">
      <c r="A58" s="1" t="n">
        <v>57</v>
      </c>
      <c r="B58" s="1" t="s">
        <v>84</v>
      </c>
      <c r="C58" s="1" t="s">
        <v>2</v>
      </c>
      <c r="D58" s="1" t="n">
        <v>41650</v>
      </c>
      <c r="E58" s="0" t="str">
        <f aca="false">VLOOKUP(B58,VS!B:B,1,0)</f>
        <v>Sultan Murat X</v>
      </c>
    </row>
    <row r="59" customFormat="false" ht="12.8" hidden="false" customHeight="false" outlineLevel="0" collapsed="false">
      <c r="A59" s="1" t="n">
        <v>58</v>
      </c>
      <c r="B59" s="1" t="s">
        <v>34</v>
      </c>
      <c r="C59" s="1" t="s">
        <v>2</v>
      </c>
      <c r="D59" s="1" t="n">
        <v>40400</v>
      </c>
      <c r="E59" s="0" t="str">
        <f aca="false">VLOOKUP(B59,VS!B:B,1,0)</f>
        <v>Li La LiNuS</v>
      </c>
    </row>
    <row r="60" customFormat="false" ht="12.8" hidden="false" customHeight="false" outlineLevel="0" collapsed="false">
      <c r="A60" s="1" t="n">
        <v>59</v>
      </c>
      <c r="B60" s="4" t="s">
        <v>36</v>
      </c>
      <c r="C60" s="1" t="s">
        <v>14</v>
      </c>
      <c r="D60" s="1" t="n">
        <v>40000</v>
      </c>
      <c r="E60" s="0" t="str">
        <f aca="false">VLOOKUP(B60,VS!B:B,1,0)</f>
        <v>haasenpeter rex</v>
      </c>
    </row>
    <row r="61" customFormat="false" ht="12.8" hidden="false" customHeight="false" outlineLevel="0" collapsed="false">
      <c r="A61" s="1" t="n">
        <v>60</v>
      </c>
      <c r="B61" s="1" t="s">
        <v>62</v>
      </c>
      <c r="C61" s="1" t="s">
        <v>2</v>
      </c>
      <c r="D61" s="1" t="n">
        <v>37800</v>
      </c>
      <c r="E61" s="0" t="str">
        <f aca="false">VLOOKUP(B61,VS!B:B,1,0)</f>
        <v>GaaGol</v>
      </c>
    </row>
    <row r="62" customFormat="false" ht="12.8" hidden="false" customHeight="false" outlineLevel="0" collapsed="false">
      <c r="A62" s="1" t="n">
        <v>61</v>
      </c>
      <c r="B62" s="1" t="s">
        <v>57</v>
      </c>
      <c r="C62" s="1" t="s">
        <v>2</v>
      </c>
      <c r="D62" s="1" t="n">
        <v>36850</v>
      </c>
      <c r="E62" s="0" t="str">
        <f aca="false">VLOOKUP(B62,VS!B:B,1,0)</f>
        <v>LatastrophenUlli</v>
      </c>
    </row>
    <row r="63" customFormat="false" ht="12.8" hidden="false" customHeight="false" outlineLevel="0" collapsed="false">
      <c r="A63" s="1" t="n">
        <v>62</v>
      </c>
      <c r="B63" s="2" t="s">
        <v>88</v>
      </c>
      <c r="C63" s="1" t="s">
        <v>1</v>
      </c>
      <c r="D63" s="1" t="n">
        <v>36350</v>
      </c>
      <c r="E63" s="0" t="str">
        <f aca="false">VLOOKUP(B63,VS!B:B,1,0)</f>
        <v>Mac1902</v>
      </c>
    </row>
    <row r="64" customFormat="false" ht="12.8" hidden="false" customHeight="false" outlineLevel="0" collapsed="false">
      <c r="A64" s="1" t="n">
        <v>63</v>
      </c>
      <c r="B64" s="2" t="s">
        <v>76</v>
      </c>
      <c r="C64" s="1" t="s">
        <v>2</v>
      </c>
      <c r="D64" s="1" t="n">
        <v>36150</v>
      </c>
      <c r="E64" s="0" t="str">
        <f aca="false">VLOOKUP(B64,VS!B:B,1,0)</f>
        <v>Tyskie 66</v>
      </c>
    </row>
    <row r="65" customFormat="false" ht="12.8" hidden="false" customHeight="false" outlineLevel="0" collapsed="false">
      <c r="A65" s="1" t="n">
        <v>64</v>
      </c>
      <c r="B65" s="1" t="s">
        <v>39</v>
      </c>
      <c r="C65" s="1" t="s">
        <v>2</v>
      </c>
      <c r="D65" s="1" t="n">
        <v>36050</v>
      </c>
      <c r="E65" s="0" t="str">
        <f aca="false">VLOOKUP(B65,VS!B:B,1,0)</f>
        <v>Aenwe</v>
      </c>
    </row>
    <row r="66" customFormat="false" ht="12.8" hidden="false" customHeight="false" outlineLevel="0" collapsed="false">
      <c r="A66" s="1" t="n">
        <v>65</v>
      </c>
      <c r="B66" s="1" t="s">
        <v>49</v>
      </c>
      <c r="C66" s="1" t="s">
        <v>2</v>
      </c>
      <c r="D66" s="1" t="n">
        <v>35900</v>
      </c>
      <c r="E66" s="0" t="str">
        <f aca="false">VLOOKUP(B66,VS!B:B,1,0)</f>
        <v>Leijonamieli</v>
      </c>
    </row>
    <row r="67" customFormat="false" ht="12.8" hidden="false" customHeight="false" outlineLevel="0" collapsed="false">
      <c r="A67" s="1" t="n">
        <v>66</v>
      </c>
      <c r="B67" s="1" t="s">
        <v>81</v>
      </c>
      <c r="C67" s="1" t="s">
        <v>2</v>
      </c>
      <c r="D67" s="1" t="n">
        <v>34300</v>
      </c>
      <c r="E67" s="0" t="str">
        <f aca="false">VLOOKUP(B67,VS!B:B,1,0)</f>
        <v>Peeter99</v>
      </c>
    </row>
    <row r="68" customFormat="false" ht="12.8" hidden="false" customHeight="false" outlineLevel="0" collapsed="false">
      <c r="A68" s="1" t="n">
        <v>67</v>
      </c>
      <c r="B68" s="1" t="s">
        <v>80</v>
      </c>
      <c r="C68" s="1" t="s">
        <v>1</v>
      </c>
      <c r="D68" s="1" t="n">
        <v>32450</v>
      </c>
      <c r="E68" s="0" t="str">
        <f aca="false">VLOOKUP(B68,VS!B:B,1,0)</f>
        <v>jobcenter FFM</v>
      </c>
    </row>
    <row r="69" customFormat="false" ht="12.8" hidden="false" customHeight="false" outlineLevel="0" collapsed="false">
      <c r="A69" s="1" t="n">
        <v>68</v>
      </c>
      <c r="B69" s="1" t="s">
        <v>94</v>
      </c>
      <c r="C69" s="1" t="s">
        <v>1</v>
      </c>
      <c r="D69" s="1" t="n">
        <v>31550</v>
      </c>
      <c r="E69" s="0" t="str">
        <f aca="false">VLOOKUP(B69,VS!B:B,1,0)</f>
        <v>MiepStreet</v>
      </c>
    </row>
    <row r="70" customFormat="false" ht="12.8" hidden="false" customHeight="false" outlineLevel="0" collapsed="false">
      <c r="A70" s="1" t="n">
        <v>69</v>
      </c>
      <c r="B70" s="1" t="s">
        <v>66</v>
      </c>
      <c r="C70" s="1" t="s">
        <v>2</v>
      </c>
      <c r="D70" s="1" t="n">
        <v>31050</v>
      </c>
      <c r="E70" s="0" t="str">
        <f aca="false">VLOOKUP(B70,VS!B:B,1,0)</f>
        <v>MetauChopf</v>
      </c>
    </row>
    <row r="71" customFormat="false" ht="12.8" hidden="false" customHeight="false" outlineLevel="0" collapsed="false">
      <c r="A71" s="1" t="n">
        <v>70</v>
      </c>
      <c r="B71" s="1" t="s">
        <v>91</v>
      </c>
      <c r="C71" s="1" t="s">
        <v>2</v>
      </c>
      <c r="D71" s="1" t="n">
        <v>30800</v>
      </c>
      <c r="E71" s="0" t="str">
        <f aca="false">VLOOKUP(B71,VS!B:B,1,0)</f>
        <v>yyyyyyvhnmll</v>
      </c>
    </row>
    <row r="72" customFormat="false" ht="12.8" hidden="false" customHeight="false" outlineLevel="0" collapsed="false">
      <c r="A72" s="1" t="n">
        <v>71</v>
      </c>
      <c r="B72" s="1" t="s">
        <v>72</v>
      </c>
      <c r="C72" s="1" t="s">
        <v>2</v>
      </c>
      <c r="D72" s="1" t="n">
        <v>30450</v>
      </c>
      <c r="E72" s="0" t="str">
        <f aca="false">VLOOKUP(B72,VS!B:B,1,0)</f>
        <v>feimel</v>
      </c>
    </row>
    <row r="73" customFormat="false" ht="12.8" hidden="false" customHeight="false" outlineLevel="0" collapsed="false">
      <c r="A73" s="1" t="n">
        <v>72</v>
      </c>
      <c r="B73" s="1" t="s">
        <v>78</v>
      </c>
      <c r="C73" s="1" t="s">
        <v>2</v>
      </c>
      <c r="D73" s="1" t="n">
        <v>30100</v>
      </c>
      <c r="E73" s="0" t="str">
        <f aca="false">VLOOKUP(B73,VS!B:B,1,0)</f>
        <v>Katerina77</v>
      </c>
    </row>
    <row r="74" customFormat="false" ht="12.8" hidden="false" customHeight="false" outlineLevel="0" collapsed="false">
      <c r="A74" s="1" t="n">
        <v>73</v>
      </c>
      <c r="B74" s="1" t="s">
        <v>79</v>
      </c>
      <c r="C74" s="1" t="s">
        <v>2</v>
      </c>
      <c r="D74" s="1" t="n">
        <v>29850</v>
      </c>
      <c r="E74" s="0" t="str">
        <f aca="false">VLOOKUP(B74,VS!B:B,1,0)</f>
        <v>Itstheghoul</v>
      </c>
    </row>
    <row r="75" customFormat="false" ht="12.8" hidden="false" customHeight="false" outlineLevel="0" collapsed="false">
      <c r="A75" s="1" t="n">
        <v>74</v>
      </c>
      <c r="B75" s="1" t="s">
        <v>65</v>
      </c>
      <c r="C75" s="1" t="s">
        <v>2</v>
      </c>
      <c r="D75" s="1" t="n">
        <v>28000</v>
      </c>
      <c r="E75" s="0" t="str">
        <f aca="false">VLOOKUP(B75,VS!B:B,1,0)</f>
        <v>dome94G</v>
      </c>
    </row>
    <row r="76" customFormat="false" ht="12.8" hidden="false" customHeight="false" outlineLevel="0" collapsed="false">
      <c r="A76" s="1" t="n">
        <v>75</v>
      </c>
      <c r="B76" s="1" t="s">
        <v>97</v>
      </c>
      <c r="C76" s="1" t="s">
        <v>95</v>
      </c>
      <c r="D76" s="1" t="n">
        <v>26200</v>
      </c>
      <c r="E76" s="0" t="str">
        <f aca="false">VLOOKUP(B76,VS!B:B,1,0)</f>
        <v>K u r d o</v>
      </c>
    </row>
    <row r="77" customFormat="false" ht="12.8" hidden="false" customHeight="false" outlineLevel="0" collapsed="false">
      <c r="A77" s="1" t="n">
        <v>76</v>
      </c>
      <c r="B77" s="1" t="s">
        <v>92</v>
      </c>
      <c r="C77" s="1" t="s">
        <v>1</v>
      </c>
      <c r="D77" s="1" t="n">
        <v>24650</v>
      </c>
      <c r="E77" s="0" t="str">
        <f aca="false">VLOOKUP(B77,VS!B:B,1,0)</f>
        <v>Cheesynator</v>
      </c>
    </row>
    <row r="78" customFormat="false" ht="12.8" hidden="false" customHeight="false" outlineLevel="0" collapsed="false">
      <c r="A78" s="1" t="n">
        <v>77</v>
      </c>
      <c r="B78" s="1" t="s">
        <v>82</v>
      </c>
      <c r="C78" s="1" t="s">
        <v>2</v>
      </c>
      <c r="D78" s="1" t="n">
        <v>21950</v>
      </c>
      <c r="E78" s="0" t="str">
        <f aca="false">VLOOKUP(B78,VS!B:B,1,0)</f>
        <v>Lilien1999</v>
      </c>
    </row>
    <row r="79" customFormat="false" ht="12.8" hidden="false" customHeight="false" outlineLevel="0" collapsed="false">
      <c r="A79" s="1" t="n">
        <v>78</v>
      </c>
      <c r="B79" s="1" t="s">
        <v>74</v>
      </c>
      <c r="C79" s="1" t="s">
        <v>95</v>
      </c>
      <c r="D79" s="1" t="n">
        <v>21500</v>
      </c>
      <c r="E79" s="0" t="str">
        <f aca="false">VLOOKUP(B79,VS!B:B,1,0)</f>
        <v>Mischel89</v>
      </c>
    </row>
    <row r="80" customFormat="false" ht="12.8" hidden="false" customHeight="false" outlineLevel="0" collapsed="false">
      <c r="A80" s="1" t="n">
        <v>79</v>
      </c>
      <c r="B80" s="1" t="s">
        <v>85</v>
      </c>
      <c r="C80" s="1" t="s">
        <v>2</v>
      </c>
      <c r="D80" s="1" t="n">
        <v>20700</v>
      </c>
      <c r="E80" s="0" t="str">
        <f aca="false">VLOOKUP(B80,VS!B:B,1,0)</f>
        <v>Feivel D MauS</v>
      </c>
    </row>
    <row r="81" customFormat="false" ht="12.8" hidden="false" customHeight="false" outlineLevel="0" collapsed="false">
      <c r="A81" s="1" t="n">
        <v>80</v>
      </c>
      <c r="B81" s="2" t="s">
        <v>86</v>
      </c>
      <c r="C81" s="1" t="s">
        <v>2</v>
      </c>
      <c r="D81" s="1" t="n">
        <v>14700</v>
      </c>
      <c r="E81" s="0" t="str">
        <f aca="false">VLOOKUP(B81,VS!B:B,1,0)</f>
        <v>Z4ID</v>
      </c>
    </row>
    <row r="82" customFormat="false" ht="12.8" hidden="false" customHeight="false" outlineLevel="0" collapsed="false">
      <c r="A82" s="1" t="n">
        <v>81</v>
      </c>
      <c r="B82" s="1" t="s">
        <v>93</v>
      </c>
      <c r="C82" s="1" t="s">
        <v>95</v>
      </c>
      <c r="D82" s="1" t="n">
        <v>13050</v>
      </c>
      <c r="E82" s="0" t="str">
        <f aca="false">VLOOKUP(B82,VS!B:B,1,0)</f>
        <v>Dr Cal Lightman</v>
      </c>
    </row>
    <row r="83" customFormat="false" ht="12.8" hidden="false" customHeight="false" outlineLevel="0" collapsed="false">
      <c r="A83" s="1" t="n">
        <v>82</v>
      </c>
      <c r="B83" s="1" t="s">
        <v>96</v>
      </c>
      <c r="C83" s="1" t="s">
        <v>95</v>
      </c>
      <c r="D83" s="1" t="n">
        <v>10650</v>
      </c>
      <c r="E83" s="0" t="str">
        <f aca="false">VLOOKUP(B83,VS!B:B,1,0)</f>
        <v>VxClicker</v>
      </c>
    </row>
    <row r="84" customFormat="false" ht="12.8" hidden="false" customHeight="false" outlineLevel="0" collapsed="false">
      <c r="A84" s="1" t="n">
        <v>83</v>
      </c>
      <c r="B84" s="1" t="s">
        <v>98</v>
      </c>
      <c r="C84" s="1" t="s">
        <v>1</v>
      </c>
      <c r="D84" s="1" t="n">
        <v>8500</v>
      </c>
      <c r="E84" s="0" t="str">
        <f aca="false">VLOOKUP(B84,VS!B:B,1,0)</f>
        <v>Jónny666</v>
      </c>
    </row>
    <row r="85" customFormat="false" ht="12.8" hidden="false" customHeight="false" outlineLevel="0" collapsed="false">
      <c r="A85" s="1" t="n">
        <v>84</v>
      </c>
      <c r="B85" s="1" t="s">
        <v>99</v>
      </c>
      <c r="C85" s="1" t="s">
        <v>1</v>
      </c>
      <c r="D85" s="1" t="n">
        <v>5800</v>
      </c>
      <c r="E85" s="0" t="str">
        <f aca="false">VLOOKUP(B85,VS!B:B,1,0)</f>
        <v>Himbeertony</v>
      </c>
    </row>
    <row r="86" customFormat="false" ht="12.8" hidden="false" customHeight="false" outlineLevel="0" collapsed="false">
      <c r="A86" s="1" t="n">
        <v>85</v>
      </c>
      <c r="B86" s="1" t="s">
        <v>101</v>
      </c>
      <c r="C86" s="1" t="s">
        <v>1</v>
      </c>
      <c r="D86" s="1" t="n">
        <v>3700</v>
      </c>
      <c r="E86" s="0" t="str">
        <f aca="false">VLOOKUP(B86,VS!B:B,1,0)</f>
        <v>Cichax0</v>
      </c>
    </row>
    <row r="87" customFormat="false" ht="12.8" hidden="false" customHeight="false" outlineLevel="0" collapsed="false">
      <c r="A87" s="1" t="n">
        <v>86</v>
      </c>
      <c r="B87" s="1" t="s">
        <v>103</v>
      </c>
      <c r="C87" s="1" t="s">
        <v>1</v>
      </c>
      <c r="D87" s="1" t="n">
        <v>3000</v>
      </c>
      <c r="E87" s="0" t="str">
        <f aca="false">VLOOKUP(B87,VS!B:B,1,0)</f>
        <v>LunaLiya</v>
      </c>
    </row>
    <row r="88" customFormat="false" ht="12.8" hidden="false" customHeight="false" outlineLevel="0" collapsed="false">
      <c r="A88" s="1" t="n">
        <v>87</v>
      </c>
      <c r="B88" s="2" t="s">
        <v>104</v>
      </c>
      <c r="C88" s="1" t="s">
        <v>1</v>
      </c>
      <c r="D88" s="1" t="n">
        <v>2700</v>
      </c>
      <c r="E88" s="0" t="str">
        <f aca="false">VLOOKUP(B88,VS!B:B,1,0)</f>
        <v>PHILAES</v>
      </c>
    </row>
    <row r="89" customFormat="false" ht="12.8" hidden="false" customHeight="false" outlineLevel="0" collapsed="false">
      <c r="A89" s="1" t="n">
        <v>88</v>
      </c>
      <c r="B89" s="1" t="s">
        <v>105</v>
      </c>
      <c r="C89" s="1" t="s">
        <v>1</v>
      </c>
      <c r="D89" s="1" t="n">
        <v>2600</v>
      </c>
      <c r="E89" s="0" t="str">
        <f aca="false">VLOOKUP(B89,VS!B:B,1,0)</f>
        <v>111Dave111</v>
      </c>
    </row>
    <row r="90" customFormat="false" ht="12.8" hidden="false" customHeight="false" outlineLevel="0" collapsed="false">
      <c r="A90" s="1" t="n">
        <v>89</v>
      </c>
      <c r="B90" s="1" t="s">
        <v>106</v>
      </c>
      <c r="C90" s="1" t="s">
        <v>1</v>
      </c>
      <c r="D90" s="1" t="n">
        <v>2600</v>
      </c>
      <c r="E90" s="0" t="str">
        <f aca="false">VLOOKUP(B90,VS!B:B,1,0)</f>
        <v>Babakuji</v>
      </c>
    </row>
    <row r="91" customFormat="false" ht="12.8" hidden="false" customHeight="false" outlineLevel="0" collapsed="false">
      <c r="A91" s="1" t="n">
        <v>90</v>
      </c>
      <c r="B91" s="1" t="s">
        <v>107</v>
      </c>
      <c r="C91" s="1" t="s">
        <v>2</v>
      </c>
      <c r="D91" s="1" t="n">
        <v>2200</v>
      </c>
      <c r="E91" s="0" t="str">
        <f aca="false">VLOOKUP(B91,VS!B:B,1,0)</f>
        <v>Adhd9</v>
      </c>
    </row>
    <row r="92" customFormat="false" ht="12.8" hidden="false" customHeight="false" outlineLevel="0" collapsed="false">
      <c r="A92" s="1" t="n">
        <v>91</v>
      </c>
      <c r="B92" s="1" t="s">
        <v>108</v>
      </c>
      <c r="C92" s="1" t="s">
        <v>1</v>
      </c>
      <c r="D92" s="1" t="n">
        <v>1950</v>
      </c>
      <c r="E92" s="0" t="str">
        <f aca="false">VLOOKUP(B92,VS!B:B,1,0)</f>
        <v>Moooolah</v>
      </c>
    </row>
    <row r="93" customFormat="false" ht="12.8" hidden="false" customHeight="false" outlineLevel="0" collapsed="false">
      <c r="A93" s="1" t="n">
        <v>92</v>
      </c>
      <c r="B93" s="1" t="s">
        <v>109</v>
      </c>
      <c r="C93" s="1" t="s">
        <v>2</v>
      </c>
      <c r="D93" s="1" t="n">
        <v>1850</v>
      </c>
      <c r="E93" s="0" t="str">
        <f aca="false">VLOOKUP(B93,VS!B:B,1,0)</f>
        <v>Adám</v>
      </c>
    </row>
    <row r="94" customFormat="false" ht="12.8" hidden="false" customHeight="false" outlineLevel="0" collapsed="false">
      <c r="A94" s="1" t="n">
        <v>93</v>
      </c>
      <c r="B94" s="1" t="s">
        <v>110</v>
      </c>
      <c r="C94" s="1" t="s">
        <v>1</v>
      </c>
      <c r="D94" s="1" t="n">
        <v>1450</v>
      </c>
      <c r="E94" s="0" t="str">
        <f aca="false">VLOOKUP(B94,VS!B:B,1,0)</f>
        <v>JSnoopy</v>
      </c>
    </row>
    <row r="95" customFormat="false" ht="12.8" hidden="false" customHeight="false" outlineLevel="0" collapsed="false">
      <c r="A95" s="1" t="n">
        <v>94</v>
      </c>
      <c r="B95" s="1" t="s">
        <v>111</v>
      </c>
      <c r="C95" s="1" t="s">
        <v>1</v>
      </c>
      <c r="D95" s="1" t="n">
        <v>400</v>
      </c>
      <c r="E95" s="0" t="str">
        <f aca="false">VLOOKUP(B95,VS!B:B,1,0)</f>
        <v>Fluffy</v>
      </c>
    </row>
    <row r="96" customFormat="false" ht="12.8" hidden="false" customHeight="false" outlineLevel="0" collapsed="false">
      <c r="A96" s="1" t="n">
        <v>95</v>
      </c>
      <c r="B96" s="1" t="s">
        <v>112</v>
      </c>
      <c r="C96" s="1" t="s">
        <v>1</v>
      </c>
      <c r="D96" s="1" t="n">
        <v>50</v>
      </c>
      <c r="E96" s="0" t="str">
        <f aca="false">VLOOKUP(B96,VS!B:B,1,0)</f>
        <v>Mudin364</v>
      </c>
    </row>
    <row r="97" customFormat="false" ht="12.8" hidden="false" customHeight="false" outlineLevel="0" collapsed="false">
      <c r="A97" s="1" t="n">
        <v>96</v>
      </c>
      <c r="B97" s="1" t="s">
        <v>113</v>
      </c>
      <c r="C97" s="1" t="s">
        <v>1</v>
      </c>
      <c r="D97" s="1" t="n">
        <v>50</v>
      </c>
      <c r="E97" s="0" t="str">
        <f aca="false">VLOOKUP(B97,VS!B:B,1,0)</f>
        <v>CL16CS55</v>
      </c>
    </row>
    <row r="98" customFormat="false" ht="12.8" hidden="false" customHeight="true" outlineLevel="0" collapsed="false">
      <c r="A98" s="1" t="n">
        <v>97</v>
      </c>
      <c r="B98" s="1" t="s">
        <v>114</v>
      </c>
      <c r="C98" s="1" t="s">
        <v>1</v>
      </c>
      <c r="D98" s="1" t="n">
        <v>0</v>
      </c>
      <c r="E98" s="0" t="str">
        <f aca="false">VLOOKUP(B98,VS!B:B,1,0)</f>
        <v>FugitiveRazor1</v>
      </c>
    </row>
    <row r="99" customFormat="false" ht="12.8" hidden="false" customHeight="true" outlineLevel="0" collapsed="false">
      <c r="A99" s="1" t="n">
        <v>98</v>
      </c>
      <c r="B99" s="1" t="s">
        <v>115</v>
      </c>
      <c r="C99" s="1" t="s">
        <v>1</v>
      </c>
      <c r="D99" s="1" t="n">
        <v>0</v>
      </c>
      <c r="E99" s="0" t="str">
        <f aca="false">VLOOKUP(B99,VS!B:B,1,0)</f>
        <v>Skywölkchen</v>
      </c>
    </row>
  </sheetData>
  <autoFilter ref="A1:D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2026-05-31T19:24:44Z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